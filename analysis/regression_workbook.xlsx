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2c287077fee94/Desktop/part3_regression_insights/"/>
    </mc:Choice>
  </mc:AlternateContent>
  <xr:revisionPtr revIDLastSave="294" documentId="8_{EB533D77-3796-484A-8DE7-F79F51DD08D7}" xr6:coauthVersionLast="47" xr6:coauthVersionMax="47" xr10:uidLastSave="{49CFD0CE-1576-4713-8845-96CD4A2F6F26}"/>
  <bookViews>
    <workbookView xWindow="-120" yWindow="-120" windowWidth="29040" windowHeight="17520" firstSheet="4" activeTab="8" xr2:uid="{82825D2E-AA91-49E3-8A4D-D86C8BF8FB7D}"/>
  </bookViews>
  <sheets>
    <sheet name="simple_regression_marketing_spe" sheetId="8" r:id="rId1"/>
    <sheet name="simple_regression_footfall" sheetId="9" r:id="rId2"/>
    <sheet name="raw_data" sheetId="1" r:id="rId3"/>
    <sheet name="cleaned_data" sheetId="2" r:id="rId4"/>
    <sheet name="multiple regression" sheetId="16" r:id="rId5"/>
    <sheet name="Dummy Variables" sheetId="10" r:id="rId6"/>
    <sheet name="simple_regression_1" sheetId="17" r:id="rId7"/>
    <sheet name="simple_regression_2" sheetId="18" r:id="rId8"/>
    <sheet name="residual_analysis" sheetId="6" r:id="rId9"/>
    <sheet name="model_comparison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Q321" i="10"/>
  <c r="Q320" i="10"/>
  <c r="Q319" i="10"/>
  <c r="Q318" i="10"/>
  <c r="Q317" i="10"/>
  <c r="Q316" i="10"/>
  <c r="Q315" i="10"/>
  <c r="Q314" i="10"/>
  <c r="Q313" i="10"/>
  <c r="Q312" i="10"/>
  <c r="Q311" i="10"/>
  <c r="Q310" i="10"/>
  <c r="Q309" i="10"/>
  <c r="Q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Q288" i="10"/>
  <c r="Q287" i="10"/>
  <c r="Q286" i="10"/>
  <c r="Q285" i="10"/>
  <c r="Q284" i="10"/>
  <c r="Q283" i="10"/>
  <c r="Q282" i="10"/>
  <c r="Q281" i="10"/>
  <c r="Q280" i="10"/>
  <c r="Q279" i="10"/>
  <c r="Q278" i="10"/>
  <c r="Q277" i="10"/>
  <c r="Q276" i="10"/>
  <c r="Q275" i="10"/>
  <c r="Q274" i="10"/>
  <c r="Q273" i="10"/>
  <c r="Q272" i="10"/>
  <c r="Q271" i="10"/>
  <c r="Q270" i="10"/>
  <c r="Q269" i="10"/>
  <c r="Q268" i="10"/>
  <c r="Q267" i="10"/>
  <c r="Q266" i="10"/>
  <c r="Q265" i="10"/>
  <c r="Q264" i="10"/>
  <c r="Q263" i="10"/>
  <c r="Q262" i="10"/>
  <c r="Q261" i="10"/>
  <c r="Q260" i="10"/>
  <c r="Q259" i="10"/>
  <c r="Q258" i="10"/>
  <c r="Q257" i="10"/>
  <c r="Q256" i="10"/>
  <c r="Q255" i="10"/>
  <c r="Q254" i="10"/>
  <c r="Q253" i="10"/>
  <c r="Q252" i="10"/>
  <c r="Q251" i="10"/>
  <c r="Q250" i="10"/>
  <c r="Q249" i="10"/>
  <c r="Q248" i="10"/>
  <c r="Q247" i="10"/>
  <c r="Q246" i="10"/>
  <c r="Q245" i="10"/>
  <c r="Q244" i="10"/>
  <c r="Q243" i="10"/>
  <c r="Q242" i="10"/>
  <c r="Q241" i="10"/>
  <c r="Q240" i="10"/>
  <c r="Q239" i="10"/>
  <c r="Q238" i="10"/>
  <c r="Q237" i="10"/>
  <c r="Q236" i="10"/>
  <c r="Q235" i="10"/>
  <c r="Q234" i="10"/>
  <c r="Q233" i="10"/>
  <c r="Q232" i="10"/>
  <c r="Q231" i="10"/>
  <c r="Q230" i="10"/>
  <c r="Q229" i="10"/>
  <c r="Q228" i="10"/>
  <c r="Q227" i="10"/>
  <c r="Q226" i="10"/>
  <c r="Q225" i="10"/>
  <c r="Q224" i="10"/>
  <c r="Q223" i="10"/>
  <c r="Q222" i="10"/>
  <c r="Q221" i="10"/>
  <c r="Q220" i="10"/>
  <c r="Q219" i="10"/>
  <c r="Q218" i="10"/>
  <c r="Q217" i="10"/>
  <c r="Q216" i="10"/>
  <c r="Q215" i="10"/>
  <c r="Q214" i="10"/>
  <c r="Q213" i="10"/>
  <c r="Q212" i="10"/>
  <c r="Q211" i="10"/>
  <c r="Q210" i="10"/>
  <c r="Q209" i="10"/>
  <c r="Q208" i="10"/>
  <c r="Q207" i="10"/>
  <c r="Q206" i="10"/>
  <c r="Q205" i="10"/>
  <c r="Q204" i="10"/>
  <c r="Q203" i="10"/>
  <c r="Q202" i="10"/>
  <c r="Q201" i="10"/>
  <c r="Q200" i="10"/>
  <c r="Q199" i="10"/>
  <c r="Q198" i="10"/>
  <c r="Q197" i="10"/>
  <c r="Q196" i="10"/>
  <c r="Q195" i="10"/>
  <c r="Q194" i="10"/>
  <c r="Q193" i="10"/>
  <c r="Q192" i="10"/>
  <c r="Q191" i="10"/>
  <c r="Q190" i="10"/>
  <c r="Q189" i="10"/>
  <c r="Q188" i="10"/>
  <c r="Q187" i="10"/>
  <c r="Q186" i="10"/>
  <c r="Q185" i="10"/>
  <c r="Q184" i="10"/>
  <c r="Q183" i="10"/>
  <c r="Q182" i="10"/>
  <c r="Q181" i="10"/>
  <c r="Q180" i="10"/>
  <c r="Q179" i="10"/>
  <c r="Q178" i="10"/>
  <c r="Q177" i="10"/>
  <c r="Q176" i="10"/>
  <c r="Q175" i="10"/>
  <c r="Q174" i="10"/>
  <c r="Q173" i="10"/>
  <c r="Q172" i="10"/>
  <c r="Q171" i="10"/>
  <c r="Q170" i="10"/>
  <c r="Q169" i="10"/>
  <c r="Q168" i="10"/>
  <c r="Q167" i="10"/>
  <c r="Q166" i="10"/>
  <c r="Q165" i="10"/>
  <c r="Q164" i="10"/>
  <c r="Q163" i="10"/>
  <c r="Q162" i="10"/>
  <c r="Q161" i="10"/>
  <c r="Q160" i="10"/>
  <c r="Q159" i="10"/>
  <c r="Q158" i="10"/>
  <c r="Q157" i="10"/>
  <c r="Q156" i="10"/>
  <c r="Q155" i="10"/>
  <c r="Q154" i="10"/>
  <c r="Q153" i="10"/>
  <c r="Q152" i="10"/>
  <c r="Q151" i="10"/>
  <c r="Q150" i="10"/>
  <c r="Q149" i="10"/>
  <c r="Q148" i="10"/>
  <c r="Q147" i="10"/>
  <c r="Q146" i="10"/>
  <c r="Q145" i="10"/>
  <c r="Q144" i="10"/>
  <c r="Q143" i="10"/>
  <c r="Q142" i="10"/>
  <c r="Q141" i="10"/>
  <c r="Q140" i="10"/>
  <c r="Q139" i="10"/>
  <c r="Q138" i="10"/>
  <c r="Q137" i="10"/>
  <c r="Q136" i="10"/>
  <c r="Q135" i="10"/>
  <c r="Q134" i="10"/>
  <c r="Q133" i="10"/>
  <c r="Q132" i="10"/>
  <c r="Q131" i="10"/>
  <c r="Q130" i="10"/>
  <c r="Q129" i="10"/>
  <c r="Q128" i="10"/>
  <c r="Q127" i="10"/>
  <c r="Q126" i="10"/>
  <c r="Q125" i="10"/>
  <c r="Q124" i="10"/>
  <c r="Q123" i="10"/>
  <c r="Q122" i="10"/>
  <c r="Q121" i="10"/>
  <c r="Q120" i="10"/>
  <c r="Q119" i="10"/>
  <c r="Q118" i="10"/>
  <c r="Q117" i="10"/>
  <c r="Q116" i="10"/>
  <c r="Q115" i="10"/>
  <c r="Q114" i="10"/>
  <c r="Q113" i="10"/>
  <c r="Q112" i="10"/>
  <c r="Q111" i="10"/>
  <c r="Q110" i="10"/>
  <c r="Q109" i="10"/>
  <c r="Q108" i="10"/>
  <c r="Q107" i="10"/>
  <c r="Q106" i="10"/>
  <c r="Q105" i="10"/>
  <c r="Q104" i="10"/>
  <c r="Q103" i="10"/>
  <c r="Q102" i="10"/>
  <c r="Q101" i="10"/>
  <c r="Q100" i="10"/>
  <c r="Q99" i="10"/>
  <c r="Q98" i="10"/>
  <c r="Q97" i="10"/>
  <c r="Q96" i="10"/>
  <c r="Q95" i="10"/>
  <c r="Q94" i="10"/>
  <c r="Q93" i="10"/>
  <c r="Q92" i="10"/>
  <c r="Q91" i="10"/>
  <c r="Q90" i="10"/>
  <c r="Q89" i="10"/>
  <c r="Q88" i="10"/>
  <c r="Q87" i="10"/>
  <c r="Q86" i="10"/>
  <c r="Q85" i="10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2" i="10"/>
</calcChain>
</file>

<file path=xl/sharedStrings.xml><?xml version="1.0" encoding="utf-8"?>
<sst xmlns="http://schemas.openxmlformats.org/spreadsheetml/2006/main" count="3088" uniqueCount="157">
  <si>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</si>
  <si>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</si>
  <si>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</si>
  <si>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</si>
  <si>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</si>
  <si>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</si>
  <si>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</si>
  <si>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</si>
  <si>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</si>
  <si>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</si>
  <si>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</si>
  <si>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</si>
  <si>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</si>
  <si>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</si>
  <si>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</si>
  <si>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</si>
  <si>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</si>
  <si>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</si>
  <si>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</si>
  <si>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</si>
  <si>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</si>
  <si>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</si>
  <si>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</si>
  <si>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</si>
  <si>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</si>
  <si>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</si>
  <si>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</si>
  <si>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</si>
  <si>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</si>
  <si>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</si>
  <si>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</si>
  <si>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</si>
  <si>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</si>
  <si>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</si>
  <si>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</si>
  <si>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</si>
  <si>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</si>
  <si>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</si>
  <si>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</si>
  <si>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</si>
  <si>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</si>
  <si>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</si>
  <si>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</si>
  <si>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</si>
  <si>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</si>
  <si>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</si>
  <si>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</si>
  <si>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</si>
  <si>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</si>
  <si>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</si>
  <si>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</si>
  <si>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</si>
  <si>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</si>
  <si>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</si>
  <si>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</si>
  <si>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</si>
  <si>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</si>
  <si>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</si>
  <si>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</si>
  <si>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</si>
  <si>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</si>
  <si>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</si>
  <si>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</si>
  <si>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</si>
  <si>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</si>
  <si>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</si>
  <si>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</si>
  <si>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</si>
  <si>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</si>
  <si>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</si>
  <si>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</si>
  <si>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</si>
  <si>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</si>
  <si>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</si>
  <si>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</si>
  <si>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</si>
  <si>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</si>
  <si>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</si>
  <si>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</si>
  <si>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</si>
  <si>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</si>
  <si>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</si>
  <si>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</si>
  <si>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</si>
  <si>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</si>
  <si>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</si>
  <si>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</si>
  <si>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</si>
  <si>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</si>
  <si>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</si>
  <si>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</si>
  <si>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</si>
  <si>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</si>
  <si>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</si>
  <si>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</si>
  <si>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</si>
  <si>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</si>
  <si>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</si>
  <si>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</si>
  <si>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</si>
  <si>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</si>
  <si>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</si>
  <si>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</si>
  <si>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</si>
  <si>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</si>
  <si>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</si>
  <si>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</si>
  <si>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</si>
  <si>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</si>
  <si>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</si>
  <si>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</si>
  <si>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</si>
  <si>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</si>
  <si>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</si>
  <si>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</si>
  <si>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</si>
  <si>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</si>
  <si>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</si>
  <si>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</si>
  <si>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</si>
  <si>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</si>
  <si>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</si>
  <si>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</si>
  <si>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</si>
  <si>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</si>
  <si>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</si>
  <si>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</si>
  <si>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region_south</t>
  </si>
  <si>
    <t>region_east</t>
  </si>
  <si>
    <t>region_west</t>
  </si>
  <si>
    <t>X Variable 2</t>
  </si>
  <si>
    <t>X Variable 3</t>
  </si>
  <si>
    <t>X Variable 4</t>
  </si>
  <si>
    <t>X Variable 5</t>
  </si>
  <si>
    <t>Model</t>
  </si>
  <si>
    <t>Dependent Variable</t>
  </si>
  <si>
    <t>Independent Variable(s)</t>
  </si>
  <si>
    <t>Conclusion</t>
  </si>
  <si>
    <t>Simple Regression 1</t>
  </si>
  <si>
    <t>Monthly Sales</t>
  </si>
  <si>
    <t>Marketing Spend</t>
  </si>
  <si>
    <t>(copy R² from Simple Regression 1)</t>
  </si>
  <si>
    <t>Marketing spend positively influences sales.</t>
  </si>
  <si>
    <t>Simple Regression 2</t>
  </si>
  <si>
    <t>Footfall</t>
  </si>
  <si>
    <t>(copy R² from Simple Regression 2)</t>
  </si>
  <si>
    <t>Higher footfall is associated with higher sales.</t>
  </si>
  <si>
    <t>Multiple Regression</t>
  </si>
  <si>
    <t>Marketing Spend, Footfall, Avg Discount %, Staff Count, Inventory Availability</t>
  </si>
  <si>
    <t>(copy R² from Multiple Regression)</t>
  </si>
  <si>
    <t>Best model because it explains sales using multiple factors.</t>
  </si>
  <si>
    <t>Actual Sales</t>
  </si>
  <si>
    <t>Predicted Sales</t>
  </si>
  <si>
    <t>Residual Type</t>
  </si>
  <si>
    <t>Avg Discount %</t>
  </si>
  <si>
    <t>Staff Count</t>
  </si>
  <si>
    <t>Inventory Availability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</si>
</sst>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87CA-515E-4A9A-936C-7A1EE57F9BA4}">
  <dimension ref="A1:I18"/>
  <sheetViews>
    <sheetView workbookViewId="0">
      <selection activeCell="A32" sqref="A32"/>
    </sheetView>
  </sheetViews>
  <sheetFormatPr defaultRowHeight="15"/>
  <cols>
    <col min="1" max="1" width="47.42578125" customWidth="1"/>
    <col min="2" max="2" width="19" customWidth="1"/>
    <col min="4" max="4" width="20.140625" customWidth="1"/>
    <col min="5" max="5" width="15.5703125" customWidth="1"/>
    <col min="6" max="6" width="32.5703125" customWidth="1"/>
  </cols>
  <sheetData>
    <row r="1" spans="1:9">
      <c r="A1" t="s">
        <v>102</v>
      </c>
    </row>
    <row r="2" spans="1:9" ht="15.75" thickBot="1"/>
    <row r="3" spans="1:9">
      <c r="A3" s="5" t="s">
        <v>103</v>
      </c>
      <c r="B3" s="5"/>
    </row>
    <row r="4" spans="1:9">
      <c r="A4" t="s">
        <v>104</v>
      </c>
      <c r="B4">
        <v>0.40895561021322352</v>
      </c>
    </row>
    <row r="5" spans="1:9">
      <c r="A5" t="s">
        <v>105</v>
      </c>
      <c r="B5">
        <v>0.16724469112487</v>
      </c>
    </row>
    <row r="6" spans="1:9">
      <c r="A6" t="s">
        <v>106</v>
      </c>
      <c r="B6">
        <v>0.16462596373847024</v>
      </c>
    </row>
    <row r="7" spans="1:9">
      <c r="A7" t="s">
        <v>107</v>
      </c>
      <c r="B7">
        <v>94846.03383215853</v>
      </c>
    </row>
    <row r="8" spans="1:9" ht="15.75" thickBot="1">
      <c r="A8" s="3" t="s">
        <v>108</v>
      </c>
      <c r="B8" s="3">
        <v>320</v>
      </c>
    </row>
    <row r="10" spans="1:9" ht="15.75" thickBot="1">
      <c r="A10" t="s">
        <v>109</v>
      </c>
    </row>
    <row r="11" spans="1:9">
      <c r="A11" s="4"/>
      <c r="B11" s="4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</row>
    <row r="12" spans="1:9">
      <c r="A12" t="s">
        <v>110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111</v>
      </c>
      <c r="B13">
        <v>318</v>
      </c>
      <c r="C13">
        <v>2860654902513.7251</v>
      </c>
      <c r="D13">
        <v>8995770133.6909599</v>
      </c>
    </row>
    <row r="14" spans="1:9" ht="15.75" thickBot="1">
      <c r="A14" s="3" t="s">
        <v>112</v>
      </c>
      <c r="B14" s="3">
        <v>319</v>
      </c>
      <c r="C14" s="3">
        <v>3435168616790.7393</v>
      </c>
      <c r="D14" s="3"/>
      <c r="E14" s="3"/>
      <c r="F14" s="3"/>
    </row>
    <row r="15" spans="1:9" ht="15.75" thickBot="1"/>
    <row r="16" spans="1:9">
      <c r="A16" s="4"/>
      <c r="B16" s="4" t="s">
        <v>119</v>
      </c>
      <c r="C16" s="4" t="s">
        <v>107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125</v>
      </c>
    </row>
    <row r="17" spans="1:9">
      <c r="A17" t="s">
        <v>113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5.75" thickBot="1">
      <c r="A18" s="3" t="s">
        <v>126</v>
      </c>
      <c r="B18" s="3">
        <v>2.1295753275898281</v>
      </c>
      <c r="C18" s="3">
        <v>0.26647838106932348</v>
      </c>
      <c r="D18" s="3">
        <v>7.991550080138869</v>
      </c>
      <c r="E18" s="3">
        <v>2.4800615101360068E-14</v>
      </c>
      <c r="F18" s="3">
        <v>1.6052919176921738</v>
      </c>
      <c r="G18" s="3">
        <v>2.6538587374874822</v>
      </c>
      <c r="H18" s="3">
        <v>1.6052919176921738</v>
      </c>
      <c r="I18" s="3">
        <v>2.6538587374874822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AF6D-39D8-44B7-A55C-0D52A685036C}">
  <dimension ref="A1:I18"/>
  <sheetViews>
    <sheetView topLeftCell="A4" workbookViewId="0">
      <selection activeCell="F33" sqref="F33"/>
    </sheetView>
  </sheetViews>
  <sheetFormatPr defaultRowHeight="15"/>
  <cols>
    <col min="1" max="1" width="32.5703125" customWidth="1"/>
    <col min="2" max="2" width="25.85546875" customWidth="1"/>
    <col min="6" max="6" width="43.7109375" customWidth="1"/>
  </cols>
  <sheetData>
    <row r="1" spans="1:9">
      <c r="A1" t="s">
        <v>102</v>
      </c>
    </row>
    <row r="2" spans="1:9" ht="15.75" thickBot="1"/>
    <row r="3" spans="1:9">
      <c r="A3" s="5" t="s">
        <v>103</v>
      </c>
      <c r="B3" s="5"/>
    </row>
    <row r="4" spans="1:9">
      <c r="A4" t="s">
        <v>104</v>
      </c>
      <c r="B4">
        <v>0.85807070804410468</v>
      </c>
    </row>
    <row r="5" spans="1:9">
      <c r="A5" t="s">
        <v>105</v>
      </c>
      <c r="B5">
        <v>0.73628534000331114</v>
      </c>
    </row>
    <row r="6" spans="1:9">
      <c r="A6" t="s">
        <v>106</v>
      </c>
      <c r="B6">
        <v>0.73545604861967373</v>
      </c>
    </row>
    <row r="7" spans="1:9">
      <c r="A7" t="s">
        <v>107</v>
      </c>
      <c r="B7">
        <v>53373.736380790499</v>
      </c>
    </row>
    <row r="8" spans="1:9" ht="15.75" thickBot="1">
      <c r="A8" s="3" t="s">
        <v>108</v>
      </c>
      <c r="B8" s="3">
        <v>320</v>
      </c>
    </row>
    <row r="10" spans="1:9" ht="15.75" thickBot="1">
      <c r="A10" t="s">
        <v>109</v>
      </c>
    </row>
    <row r="11" spans="1:9">
      <c r="A11" s="4"/>
      <c r="B11" s="4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</row>
    <row r="12" spans="1:9">
      <c r="A12" t="s">
        <v>110</v>
      </c>
      <c r="B12">
        <v>1</v>
      </c>
      <c r="C12">
        <v>2529264292982.4736</v>
      </c>
      <c r="D12">
        <v>2529264292982.4736</v>
      </c>
      <c r="E12">
        <v>887.84877611276033</v>
      </c>
      <c r="F12">
        <v>4.7503615090053331E-94</v>
      </c>
    </row>
    <row r="13" spans="1:9">
      <c r="A13" t="s">
        <v>111</v>
      </c>
      <c r="B13">
        <v>318</v>
      </c>
      <c r="C13">
        <v>905904323808.26587</v>
      </c>
      <c r="D13">
        <v>2848755735.246119</v>
      </c>
    </row>
    <row r="14" spans="1:9" ht="15.75" thickBot="1">
      <c r="A14" s="3" t="s">
        <v>112</v>
      </c>
      <c r="B14" s="3">
        <v>319</v>
      </c>
      <c r="C14" s="3">
        <v>3435168616790.7393</v>
      </c>
      <c r="D14" s="3"/>
      <c r="E14" s="3"/>
      <c r="F14" s="3"/>
    </row>
    <row r="15" spans="1:9" ht="15.75" thickBot="1"/>
    <row r="16" spans="1:9">
      <c r="A16" s="4"/>
      <c r="B16" s="4" t="s">
        <v>119</v>
      </c>
      <c r="C16" s="4" t="s">
        <v>107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125</v>
      </c>
    </row>
    <row r="17" spans="1:9">
      <c r="A17" t="s">
        <v>113</v>
      </c>
      <c r="B17">
        <v>446410.58293395344</v>
      </c>
      <c r="C17">
        <v>8407.7382630059928</v>
      </c>
      <c r="D17">
        <v>53.095204556754318</v>
      </c>
      <c r="E17">
        <v>4.0862695711507226E-160</v>
      </c>
      <c r="F17">
        <v>429868.76191129786</v>
      </c>
      <c r="G17">
        <v>462952.40395660902</v>
      </c>
      <c r="H17">
        <v>429868.76191129786</v>
      </c>
      <c r="I17">
        <v>462952.40395660902</v>
      </c>
    </row>
    <row r="18" spans="1:9" ht="15.75" thickBot="1">
      <c r="A18" s="3" t="s">
        <v>126</v>
      </c>
      <c r="B18" s="3">
        <v>35.678031072640458</v>
      </c>
      <c r="C18" s="3">
        <v>1.1973782890340821</v>
      </c>
      <c r="D18" s="3">
        <v>29.796791372776362</v>
      </c>
      <c r="E18" s="3">
        <v>4.7503615090054677E-94</v>
      </c>
      <c r="F18" s="3">
        <v>33.322246825554025</v>
      </c>
      <c r="G18" s="3">
        <v>38.033815319726891</v>
      </c>
      <c r="H18" s="3">
        <v>33.322246825554025</v>
      </c>
      <c r="I18" s="3">
        <v>38.033815319726891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78EF-C222-4303-8368-B519AAE4F58E}">
  <dimension ref="A1:N321"/>
  <sheetViews>
    <sheetView workbookViewId="0">
      <selection activeCell="M2" sqref="M2:M22"/>
    </sheetView>
  </sheetViews>
  <sheetFormatPr defaultRowHeight="15"/>
  <cols>
    <col min="1" max="14" width="18.28515625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8162-5867-4018-8D39-B4AFCD83708B}">
  <dimension ref="A1:N321"/>
  <sheetViews>
    <sheetView workbookViewId="0">
      <selection activeCell="Q5" sqref="Q5"/>
    </sheetView>
  </sheetViews>
  <sheetFormatPr defaultRowHeight="15"/>
  <cols>
    <col min="4" max="4" width="26.85546875" customWidth="1"/>
    <col min="5" max="5" width="21.85546875" customWidth="1"/>
    <col min="7" max="7" width="20.140625" customWidth="1"/>
    <col min="8" max="8" width="22.42578125" customWidth="1"/>
    <col min="9" max="9" width="26.42578125" customWidth="1"/>
    <col min="10" max="10" width="24.28515625" customWidth="1"/>
    <col min="11" max="11" width="25.5703125" customWidth="1"/>
    <col min="12" max="12" width="22.85546875" customWidth="1"/>
    <col min="13" max="13" width="15.42578125" customWidth="1"/>
    <col min="14" max="14" width="26.42578125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3366-177E-429B-87FA-DD6433B520D7}">
  <dimension ref="A1:I22"/>
  <sheetViews>
    <sheetView workbookViewId="0"/>
  </sheetViews>
  <sheetFormatPr defaultRowHeight="15"/>
  <sheetData>
    <row r="1" spans="1:9">
      <c r="A1" t="s">
        <v>102</v>
      </c>
    </row>
    <row r="2" spans="1:9" ht="15.75" thickBot="1"/>
    <row r="3" spans="1:9">
      <c r="A3" s="5" t="s">
        <v>103</v>
      </c>
      <c r="B3" s="5"/>
    </row>
    <row r="4" spans="1:9">
      <c r="A4" t="s">
        <v>104</v>
      </c>
      <c r="B4">
        <v>0.8994069740715549</v>
      </c>
    </row>
    <row r="5" spans="1:9">
      <c r="A5" t="s">
        <v>105</v>
      </c>
      <c r="B5">
        <v>0.80893290500855064</v>
      </c>
    </row>
    <row r="6" spans="1:9">
      <c r="A6" t="s">
        <v>106</v>
      </c>
      <c r="B6">
        <v>0.8058904353430818</v>
      </c>
    </row>
    <row r="7" spans="1:9">
      <c r="A7" t="s">
        <v>107</v>
      </c>
      <c r="B7">
        <v>45719.571984778515</v>
      </c>
    </row>
    <row r="8" spans="1:9" ht="15.75" thickBot="1">
      <c r="A8" s="3" t="s">
        <v>108</v>
      </c>
      <c r="B8" s="3">
        <v>320</v>
      </c>
    </row>
    <row r="10" spans="1:9" ht="15.75" thickBot="1">
      <c r="A10" t="s">
        <v>109</v>
      </c>
    </row>
    <row r="11" spans="1:9">
      <c r="A11" s="4"/>
      <c r="B11" s="4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</row>
    <row r="12" spans="1:9">
      <c r="A12" t="s">
        <v>110</v>
      </c>
      <c r="B12">
        <v>5</v>
      </c>
      <c r="C12">
        <v>2778820928374.7373</v>
      </c>
      <c r="D12">
        <v>555764185674.94751</v>
      </c>
      <c r="E12">
        <v>265.88035180422048</v>
      </c>
      <c r="F12">
        <v>1.5289970534849413E-110</v>
      </c>
    </row>
    <row r="13" spans="1:9">
      <c r="A13" t="s">
        <v>111</v>
      </c>
      <c r="B13">
        <v>314</v>
      </c>
      <c r="C13">
        <v>656347688416.00208</v>
      </c>
      <c r="D13">
        <v>2090279262.4713442</v>
      </c>
    </row>
    <row r="14" spans="1:9" ht="15.75" thickBot="1">
      <c r="A14" s="3" t="s">
        <v>112</v>
      </c>
      <c r="B14" s="3">
        <v>319</v>
      </c>
      <c r="C14" s="3">
        <v>3435168616790.7393</v>
      </c>
      <c r="D14" s="3"/>
      <c r="E14" s="3"/>
      <c r="F14" s="3"/>
    </row>
    <row r="15" spans="1:9" ht="15.75" thickBot="1"/>
    <row r="16" spans="1:9">
      <c r="A16" s="4"/>
      <c r="B16" s="4" t="s">
        <v>119</v>
      </c>
      <c r="C16" s="4" t="s">
        <v>107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125</v>
      </c>
    </row>
    <row r="17" spans="1:9">
      <c r="A17" t="s">
        <v>113</v>
      </c>
      <c r="B17">
        <v>138350.4703163899</v>
      </c>
      <c r="C17">
        <v>45021.562462269234</v>
      </c>
      <c r="D17">
        <v>3.0729824277497229</v>
      </c>
      <c r="E17">
        <v>2.3050366466396462E-3</v>
      </c>
      <c r="F17">
        <v>49768.398729541324</v>
      </c>
      <c r="G17">
        <v>226932.54190323845</v>
      </c>
      <c r="H17">
        <v>49768.398729541324</v>
      </c>
      <c r="I17">
        <v>226932.54190323845</v>
      </c>
    </row>
    <row r="18" spans="1:9">
      <c r="A18" t="s">
        <v>126</v>
      </c>
      <c r="B18">
        <v>1.1486930242875788</v>
      </c>
      <c r="C18">
        <v>0.13265277010722487</v>
      </c>
      <c r="D18">
        <v>8.6593971867988593</v>
      </c>
      <c r="E18">
        <v>2.5322110038799128E-16</v>
      </c>
      <c r="F18">
        <v>0.88769237181844884</v>
      </c>
      <c r="G18">
        <v>1.4096936767567088</v>
      </c>
      <c r="H18">
        <v>0.88769237181844884</v>
      </c>
      <c r="I18">
        <v>1.4096936767567088</v>
      </c>
    </row>
    <row r="19" spans="1:9">
      <c r="A19" t="s">
        <v>130</v>
      </c>
      <c r="B19">
        <v>29.141714058847693</v>
      </c>
      <c r="C19">
        <v>2.5919228590256718</v>
      </c>
      <c r="D19">
        <v>11.243279852010078</v>
      </c>
      <c r="E19">
        <v>7.1283186399672476E-25</v>
      </c>
      <c r="F19">
        <v>24.04198220395665</v>
      </c>
      <c r="G19">
        <v>34.241445913738737</v>
      </c>
      <c r="H19">
        <v>24.04198220395665</v>
      </c>
      <c r="I19">
        <v>34.241445913738737</v>
      </c>
    </row>
    <row r="20" spans="1:9">
      <c r="A20" t="s">
        <v>131</v>
      </c>
      <c r="B20">
        <v>-74690.456982167918</v>
      </c>
      <c r="C20">
        <v>37809.224780865647</v>
      </c>
      <c r="D20">
        <v>-1.9754559215392056</v>
      </c>
      <c r="E20">
        <v>4.9091815779586642E-2</v>
      </c>
      <c r="F20">
        <v>-149081.91016615584</v>
      </c>
      <c r="G20">
        <v>-299.00379817999783</v>
      </c>
      <c r="H20">
        <v>-149081.91016615584</v>
      </c>
      <c r="I20">
        <v>-299.00379817999783</v>
      </c>
    </row>
    <row r="21" spans="1:9">
      <c r="A21" t="s">
        <v>132</v>
      </c>
      <c r="B21">
        <v>2494.9182608201932</v>
      </c>
      <c r="C21">
        <v>1311.883410958899</v>
      </c>
      <c r="D21">
        <v>1.9017835273917938</v>
      </c>
      <c r="E21">
        <v>5.8114493704952128E-2</v>
      </c>
      <c r="F21">
        <v>-86.274924568489496</v>
      </c>
      <c r="G21">
        <v>5076.1114462088753</v>
      </c>
      <c r="H21">
        <v>-86.274924568489496</v>
      </c>
      <c r="I21">
        <v>5076.1114462088753</v>
      </c>
    </row>
    <row r="22" spans="1:9" ht="15.75" thickBot="1">
      <c r="A22" s="3" t="s">
        <v>133</v>
      </c>
      <c r="B22" s="3">
        <v>2881.8687820197529</v>
      </c>
      <c r="C22" s="3">
        <v>480.09136227231375</v>
      </c>
      <c r="D22" s="3">
        <v>6.002750743899286</v>
      </c>
      <c r="E22" s="3">
        <v>5.350865094690586E-9</v>
      </c>
      <c r="F22" s="3">
        <v>1937.2661273101494</v>
      </c>
      <c r="G22" s="3">
        <v>3826.4714367293564</v>
      </c>
      <c r="H22" s="3">
        <v>1937.2661273101494</v>
      </c>
      <c r="I22" s="3">
        <v>3826.4714367293564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1BBF-2F91-4F58-89C0-051D8FFBE175}">
  <dimension ref="A1:Q321"/>
  <sheetViews>
    <sheetView topLeftCell="D1" zoomScale="85" workbookViewId="0">
      <selection activeCell="L40" sqref="L40"/>
    </sheetView>
  </sheetViews>
  <sheetFormatPr defaultColWidth="21" defaultRowHeight="15"/>
  <cols>
    <col min="7" max="8" width="21" customWidth="1"/>
    <col min="9" max="9" width="21.5703125" customWidth="1"/>
    <col min="10" max="14" width="21" customWidth="1"/>
  </cols>
  <sheetData>
    <row r="1" spans="1:1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127</v>
      </c>
      <c r="P1" t="s">
        <v>128</v>
      </c>
      <c r="Q1" t="s">
        <v>129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IF(C2="South",1,0)</f>
        <v>0</v>
      </c>
      <c r="P2">
        <f>IF(C2="East",1,0)</f>
        <v>1</v>
      </c>
      <c r="Q2">
        <f>IF(C2="West",1,0)</f>
        <v>0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IF(C3="South",1,0)</f>
        <v>0</v>
      </c>
      <c r="P3">
        <f t="shared" ref="P3:P66" si="1">IF(C3="East",1,0)</f>
        <v>1</v>
      </c>
      <c r="Q3">
        <f t="shared" ref="Q3:Q66" si="2">IF(C3="West",1,0)</f>
        <v>0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1</v>
      </c>
      <c r="Q4">
        <f t="shared" si="2"/>
        <v>0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1</v>
      </c>
      <c r="Q5">
        <f t="shared" si="2"/>
        <v>0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1</v>
      </c>
      <c r="Q6">
        <f t="shared" si="2"/>
        <v>0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1</v>
      </c>
      <c r="Q7">
        <f t="shared" si="2"/>
        <v>0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1</v>
      </c>
      <c r="Q8">
        <f t="shared" si="2"/>
        <v>0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1</v>
      </c>
      <c r="Q9">
        <f t="shared" si="2"/>
        <v>0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f t="shared" si="1"/>
        <v>0</v>
      </c>
      <c r="Q10">
        <f t="shared" si="2"/>
        <v>0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f t="shared" si="1"/>
        <v>0</v>
      </c>
      <c r="Q11">
        <f t="shared" si="2"/>
        <v>0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f t="shared" si="1"/>
        <v>0</v>
      </c>
      <c r="Q12">
        <f t="shared" si="2"/>
        <v>0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f t="shared" si="1"/>
        <v>0</v>
      </c>
      <c r="Q13">
        <f t="shared" si="2"/>
        <v>0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1</v>
      </c>
      <c r="Q14">
        <f t="shared" si="2"/>
        <v>0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1</v>
      </c>
      <c r="Q15">
        <f t="shared" si="2"/>
        <v>0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1</v>
      </c>
      <c r="Q16">
        <f t="shared" si="2"/>
        <v>0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1</v>
      </c>
      <c r="Q17">
        <f t="shared" si="2"/>
        <v>0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1</v>
      </c>
      <c r="P18">
        <f t="shared" si="1"/>
        <v>0</v>
      </c>
      <c r="Q18">
        <f t="shared" si="2"/>
        <v>0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1</v>
      </c>
      <c r="P19">
        <f t="shared" si="1"/>
        <v>0</v>
      </c>
      <c r="Q19">
        <f t="shared" si="2"/>
        <v>0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1</v>
      </c>
      <c r="P20">
        <f t="shared" si="1"/>
        <v>0</v>
      </c>
      <c r="Q20">
        <f t="shared" si="2"/>
        <v>0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1</v>
      </c>
      <c r="P21">
        <f t="shared" si="1"/>
        <v>0</v>
      </c>
      <c r="Q21">
        <f t="shared" si="2"/>
        <v>0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0</v>
      </c>
      <c r="Q23">
        <f t="shared" si="2"/>
        <v>0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0</v>
      </c>
      <c r="Q24">
        <f t="shared" si="2"/>
        <v>0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0</v>
      </c>
      <c r="Q25">
        <f t="shared" si="2"/>
        <v>0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1</v>
      </c>
      <c r="Q30">
        <f t="shared" si="2"/>
        <v>0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1</v>
      </c>
      <c r="Q31">
        <f t="shared" si="2"/>
        <v>0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1</v>
      </c>
      <c r="Q32">
        <f t="shared" si="2"/>
        <v>0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1</v>
      </c>
      <c r="Q33">
        <f t="shared" si="2"/>
        <v>0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0</v>
      </c>
      <c r="Q36">
        <f t="shared" si="2"/>
        <v>0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0</v>
      </c>
      <c r="Q37">
        <f t="shared" si="2"/>
        <v>0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0</v>
      </c>
      <c r="Q38">
        <f t="shared" si="2"/>
        <v>0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0</v>
      </c>
      <c r="Q39">
        <f t="shared" si="2"/>
        <v>0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0</v>
      </c>
      <c r="Q40">
        <f t="shared" si="2"/>
        <v>0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0</v>
      </c>
      <c r="Q41">
        <f t="shared" si="2"/>
        <v>0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1</v>
      </c>
      <c r="Q42">
        <f t="shared" si="2"/>
        <v>0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1</v>
      </c>
      <c r="Q43">
        <f t="shared" si="2"/>
        <v>0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1</v>
      </c>
      <c r="Q44">
        <f t="shared" si="2"/>
        <v>0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1</v>
      </c>
      <c r="Q45">
        <f t="shared" si="2"/>
        <v>0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0</v>
      </c>
      <c r="Q50">
        <f t="shared" si="2"/>
        <v>0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0</v>
      </c>
      <c r="Q51">
        <f t="shared" si="2"/>
        <v>0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0</v>
      </c>
      <c r="Q52">
        <f t="shared" si="2"/>
        <v>0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0</v>
      </c>
      <c r="Q53">
        <f t="shared" si="2"/>
        <v>0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1</v>
      </c>
      <c r="Q58">
        <f t="shared" si="2"/>
        <v>0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1</v>
      </c>
      <c r="Q59">
        <f t="shared" si="2"/>
        <v>0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1</v>
      </c>
      <c r="Q60">
        <f t="shared" si="2"/>
        <v>0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1</v>
      </c>
      <c r="Q61">
        <f t="shared" si="2"/>
        <v>0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1</v>
      </c>
      <c r="P62">
        <f t="shared" si="1"/>
        <v>0</v>
      </c>
      <c r="Q62">
        <f t="shared" si="2"/>
        <v>0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1</v>
      </c>
      <c r="P63">
        <f t="shared" si="1"/>
        <v>0</v>
      </c>
      <c r="Q63">
        <f t="shared" si="2"/>
        <v>0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1</v>
      </c>
      <c r="P64">
        <f t="shared" si="1"/>
        <v>0</v>
      </c>
      <c r="Q64">
        <f t="shared" si="2"/>
        <v>0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1</v>
      </c>
      <c r="P65">
        <f t="shared" si="1"/>
        <v>0</v>
      </c>
      <c r="Q65">
        <f t="shared" si="2"/>
        <v>0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3">IF(C67="South",1,0)</f>
        <v>0</v>
      </c>
      <c r="P67">
        <f t="shared" ref="P67:P130" si="4">IF(C67="East",1,0)</f>
        <v>0</v>
      </c>
      <c r="Q67">
        <f t="shared" ref="Q67:Q130" si="5">IF(C67="West",1,0)</f>
        <v>1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3"/>
        <v>0</v>
      </c>
      <c r="P68">
        <f t="shared" si="4"/>
        <v>0</v>
      </c>
      <c r="Q68">
        <f t="shared" si="5"/>
        <v>1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3"/>
        <v>0</v>
      </c>
      <c r="P69">
        <f t="shared" si="4"/>
        <v>0</v>
      </c>
      <c r="Q69">
        <f t="shared" si="5"/>
        <v>1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3"/>
        <v>0</v>
      </c>
      <c r="P70">
        <f t="shared" si="4"/>
        <v>1</v>
      </c>
      <c r="Q70">
        <f t="shared" si="5"/>
        <v>0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3"/>
        <v>0</v>
      </c>
      <c r="P71">
        <f t="shared" si="4"/>
        <v>1</v>
      </c>
      <c r="Q71">
        <f t="shared" si="5"/>
        <v>0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3"/>
        <v>0</v>
      </c>
      <c r="P72">
        <f t="shared" si="4"/>
        <v>1</v>
      </c>
      <c r="Q72">
        <f t="shared" si="5"/>
        <v>0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3"/>
        <v>0</v>
      </c>
      <c r="P73">
        <f t="shared" si="4"/>
        <v>1</v>
      </c>
      <c r="Q73">
        <f t="shared" si="5"/>
        <v>0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3"/>
        <v>0</v>
      </c>
      <c r="P74">
        <f t="shared" si="4"/>
        <v>1</v>
      </c>
      <c r="Q74">
        <f t="shared" si="5"/>
        <v>0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3"/>
        <v>0</v>
      </c>
      <c r="P75">
        <f t="shared" si="4"/>
        <v>1</v>
      </c>
      <c r="Q75">
        <f t="shared" si="5"/>
        <v>0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3"/>
        <v>0</v>
      </c>
      <c r="P76">
        <f t="shared" si="4"/>
        <v>1</v>
      </c>
      <c r="Q76">
        <f t="shared" si="5"/>
        <v>0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3"/>
        <v>0</v>
      </c>
      <c r="P77">
        <f t="shared" si="4"/>
        <v>1</v>
      </c>
      <c r="Q77">
        <f t="shared" si="5"/>
        <v>0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3"/>
        <v>1</v>
      </c>
      <c r="P78">
        <f t="shared" si="4"/>
        <v>0</v>
      </c>
      <c r="Q78">
        <f t="shared" si="5"/>
        <v>0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3"/>
        <v>1</v>
      </c>
      <c r="P79">
        <f t="shared" si="4"/>
        <v>0</v>
      </c>
      <c r="Q79">
        <f t="shared" si="5"/>
        <v>0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3"/>
        <v>1</v>
      </c>
      <c r="P80">
        <f t="shared" si="4"/>
        <v>0</v>
      </c>
      <c r="Q80">
        <f t="shared" si="5"/>
        <v>0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3"/>
        <v>1</v>
      </c>
      <c r="P81">
        <f t="shared" si="4"/>
        <v>0</v>
      </c>
      <c r="Q81">
        <f t="shared" si="5"/>
        <v>0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3"/>
        <v>0</v>
      </c>
      <c r="P86">
        <f t="shared" si="4"/>
        <v>0</v>
      </c>
      <c r="Q86">
        <f t="shared" si="5"/>
        <v>1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 t="shared" si="3"/>
        <v>0</v>
      </c>
      <c r="P87">
        <f t="shared" si="4"/>
        <v>0</v>
      </c>
      <c r="Q87">
        <f t="shared" si="5"/>
        <v>1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3"/>
        <v>0</v>
      </c>
      <c r="P88">
        <f t="shared" si="4"/>
        <v>0</v>
      </c>
      <c r="Q88">
        <f t="shared" si="5"/>
        <v>1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3"/>
        <v>0</v>
      </c>
      <c r="P89">
        <f t="shared" si="4"/>
        <v>0</v>
      </c>
      <c r="Q89">
        <f t="shared" si="5"/>
        <v>1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3"/>
        <v>1</v>
      </c>
      <c r="P90">
        <f t="shared" si="4"/>
        <v>0</v>
      </c>
      <c r="Q90">
        <f t="shared" si="5"/>
        <v>0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3"/>
        <v>1</v>
      </c>
      <c r="P91">
        <f t="shared" si="4"/>
        <v>0</v>
      </c>
      <c r="Q91">
        <f t="shared" si="5"/>
        <v>0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3"/>
        <v>1</v>
      </c>
      <c r="P92">
        <f t="shared" si="4"/>
        <v>0</v>
      </c>
      <c r="Q92">
        <f t="shared" si="5"/>
        <v>0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3"/>
        <v>1</v>
      </c>
      <c r="P93">
        <f t="shared" si="4"/>
        <v>0</v>
      </c>
      <c r="Q93">
        <f t="shared" si="5"/>
        <v>0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3"/>
        <v>0</v>
      </c>
      <c r="P94">
        <f t="shared" si="4"/>
        <v>0</v>
      </c>
      <c r="Q94">
        <f t="shared" si="5"/>
        <v>1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3"/>
        <v>0</v>
      </c>
      <c r="P96">
        <f t="shared" si="4"/>
        <v>0</v>
      </c>
      <c r="Q96">
        <f t="shared" si="5"/>
        <v>1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3"/>
        <v>0</v>
      </c>
      <c r="P97">
        <f t="shared" si="4"/>
        <v>0</v>
      </c>
      <c r="Q97">
        <f t="shared" si="5"/>
        <v>1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3"/>
        <v>0</v>
      </c>
      <c r="P102">
        <f t="shared" si="4"/>
        <v>1</v>
      </c>
      <c r="Q102">
        <f t="shared" si="5"/>
        <v>0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3"/>
        <v>0</v>
      </c>
      <c r="P103">
        <f t="shared" si="4"/>
        <v>1</v>
      </c>
      <c r="Q103">
        <f t="shared" si="5"/>
        <v>0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3"/>
        <v>0</v>
      </c>
      <c r="P104">
        <f t="shared" si="4"/>
        <v>1</v>
      </c>
      <c r="Q104">
        <f t="shared" si="5"/>
        <v>0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3"/>
        <v>0</v>
      </c>
      <c r="P105">
        <f t="shared" si="4"/>
        <v>1</v>
      </c>
      <c r="Q105">
        <f t="shared" si="5"/>
        <v>0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3"/>
        <v>0</v>
      </c>
      <c r="P106">
        <f t="shared" si="4"/>
        <v>0</v>
      </c>
      <c r="Q106">
        <f t="shared" si="5"/>
        <v>1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3"/>
        <v>0</v>
      </c>
      <c r="P107">
        <f t="shared" si="4"/>
        <v>0</v>
      </c>
      <c r="Q107">
        <f t="shared" si="5"/>
        <v>1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3"/>
        <v>0</v>
      </c>
      <c r="P108">
        <f t="shared" si="4"/>
        <v>0</v>
      </c>
      <c r="Q108">
        <f t="shared" si="5"/>
        <v>1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3"/>
        <v>0</v>
      </c>
      <c r="P109">
        <f t="shared" si="4"/>
        <v>0</v>
      </c>
      <c r="Q109">
        <f t="shared" si="5"/>
        <v>1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3"/>
        <v>0</v>
      </c>
      <c r="P110">
        <f t="shared" si="4"/>
        <v>1</v>
      </c>
      <c r="Q110">
        <f t="shared" si="5"/>
        <v>0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3"/>
        <v>0</v>
      </c>
      <c r="P111">
        <f t="shared" si="4"/>
        <v>1</v>
      </c>
      <c r="Q111">
        <f t="shared" si="5"/>
        <v>0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3"/>
        <v>0</v>
      </c>
      <c r="P112">
        <f t="shared" si="4"/>
        <v>1</v>
      </c>
      <c r="Q112">
        <f t="shared" si="5"/>
        <v>0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3"/>
        <v>0</v>
      </c>
      <c r="P113">
        <f t="shared" si="4"/>
        <v>1</v>
      </c>
      <c r="Q113">
        <f t="shared" si="5"/>
        <v>0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3"/>
        <v>0</v>
      </c>
      <c r="P120">
        <f t="shared" si="4"/>
        <v>0</v>
      </c>
      <c r="Q120">
        <f t="shared" si="5"/>
        <v>1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3"/>
        <v>0</v>
      </c>
      <c r="P121">
        <f t="shared" si="4"/>
        <v>0</v>
      </c>
      <c r="Q121">
        <f t="shared" si="5"/>
        <v>1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3"/>
        <v>0</v>
      </c>
      <c r="P122">
        <f t="shared" si="4"/>
        <v>0</v>
      </c>
      <c r="Q122">
        <f t="shared" si="5"/>
        <v>0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3"/>
        <v>0</v>
      </c>
      <c r="P123">
        <f t="shared" si="4"/>
        <v>0</v>
      </c>
      <c r="Q123">
        <f t="shared" si="5"/>
        <v>0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3"/>
        <v>0</v>
      </c>
      <c r="P124">
        <f t="shared" si="4"/>
        <v>0</v>
      </c>
      <c r="Q124">
        <f t="shared" si="5"/>
        <v>0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3"/>
        <v>0</v>
      </c>
      <c r="P125">
        <f t="shared" si="4"/>
        <v>0</v>
      </c>
      <c r="Q125">
        <f t="shared" si="5"/>
        <v>0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3"/>
        <v>1</v>
      </c>
      <c r="P126">
        <f t="shared" si="4"/>
        <v>0</v>
      </c>
      <c r="Q126">
        <f t="shared" si="5"/>
        <v>0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3"/>
        <v>1</v>
      </c>
      <c r="P127">
        <f t="shared" si="4"/>
        <v>0</v>
      </c>
      <c r="Q127">
        <f t="shared" si="5"/>
        <v>0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3"/>
        <v>1</v>
      </c>
      <c r="P128">
        <f t="shared" si="4"/>
        <v>0</v>
      </c>
      <c r="Q128">
        <f t="shared" si="5"/>
        <v>0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3"/>
        <v>1</v>
      </c>
      <c r="P129">
        <f t="shared" si="4"/>
        <v>0</v>
      </c>
      <c r="Q129">
        <f t="shared" si="5"/>
        <v>0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3"/>
        <v>0</v>
      </c>
      <c r="P130">
        <f t="shared" si="4"/>
        <v>1</v>
      </c>
      <c r="Q130">
        <f t="shared" si="5"/>
        <v>0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6">IF(C131="South",1,0)</f>
        <v>0</v>
      </c>
      <c r="P131">
        <f t="shared" ref="P131:P194" si="7">IF(C131="East",1,0)</f>
        <v>1</v>
      </c>
      <c r="Q131">
        <f t="shared" ref="Q131:Q194" si="8">IF(C131="West",1,0)</f>
        <v>0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6"/>
        <v>0</v>
      </c>
      <c r="P134">
        <f t="shared" si="7"/>
        <v>0</v>
      </c>
      <c r="Q134">
        <f t="shared" si="8"/>
        <v>0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 t="shared" si="6"/>
        <v>0</v>
      </c>
      <c r="P135">
        <f t="shared" si="7"/>
        <v>0</v>
      </c>
      <c r="Q135">
        <f t="shared" si="8"/>
        <v>0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6"/>
        <v>0</v>
      </c>
      <c r="P136">
        <f t="shared" si="7"/>
        <v>0</v>
      </c>
      <c r="Q136">
        <f t="shared" si="8"/>
        <v>0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6"/>
        <v>0</v>
      </c>
      <c r="P137">
        <f t="shared" si="7"/>
        <v>0</v>
      </c>
      <c r="Q137">
        <f t="shared" si="8"/>
        <v>0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 t="shared" si="6"/>
        <v>1</v>
      </c>
      <c r="P138">
        <f t="shared" si="7"/>
        <v>0</v>
      </c>
      <c r="Q138">
        <f t="shared" si="8"/>
        <v>0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6"/>
        <v>1</v>
      </c>
      <c r="P139">
        <f t="shared" si="7"/>
        <v>0</v>
      </c>
      <c r="Q139">
        <f t="shared" si="8"/>
        <v>0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6"/>
        <v>1</v>
      </c>
      <c r="P140">
        <f t="shared" si="7"/>
        <v>0</v>
      </c>
      <c r="Q140">
        <f t="shared" si="8"/>
        <v>0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6"/>
        <v>1</v>
      </c>
      <c r="P141">
        <f t="shared" si="7"/>
        <v>0</v>
      </c>
      <c r="Q141">
        <f t="shared" si="8"/>
        <v>0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6"/>
        <v>0</v>
      </c>
      <c r="P142">
        <f t="shared" si="7"/>
        <v>0</v>
      </c>
      <c r="Q142">
        <f t="shared" si="8"/>
        <v>1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6"/>
        <v>0</v>
      </c>
      <c r="P143">
        <f t="shared" si="7"/>
        <v>0</v>
      </c>
      <c r="Q143">
        <f t="shared" si="8"/>
        <v>1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6"/>
        <v>0</v>
      </c>
      <c r="P144">
        <f t="shared" si="7"/>
        <v>0</v>
      </c>
      <c r="Q144">
        <f t="shared" si="8"/>
        <v>1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6"/>
        <v>0</v>
      </c>
      <c r="P145">
        <f t="shared" si="7"/>
        <v>0</v>
      </c>
      <c r="Q145">
        <f t="shared" si="8"/>
        <v>1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6"/>
        <v>0</v>
      </c>
      <c r="P147">
        <f t="shared" si="7"/>
        <v>0</v>
      </c>
      <c r="Q147">
        <f t="shared" si="8"/>
        <v>0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6"/>
        <v>1</v>
      </c>
      <c r="P150">
        <f t="shared" si="7"/>
        <v>0</v>
      </c>
      <c r="Q150">
        <f t="shared" si="8"/>
        <v>0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6"/>
        <v>1</v>
      </c>
      <c r="P151">
        <f t="shared" si="7"/>
        <v>0</v>
      </c>
      <c r="Q151">
        <f t="shared" si="8"/>
        <v>0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6"/>
        <v>1</v>
      </c>
      <c r="P152">
        <f t="shared" si="7"/>
        <v>0</v>
      </c>
      <c r="Q152">
        <f t="shared" si="8"/>
        <v>0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6"/>
        <v>1</v>
      </c>
      <c r="P153">
        <f t="shared" si="7"/>
        <v>0</v>
      </c>
      <c r="Q153">
        <f t="shared" si="8"/>
        <v>0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6"/>
        <v>0</v>
      </c>
      <c r="P155">
        <f t="shared" si="7"/>
        <v>1</v>
      </c>
      <c r="Q155">
        <f t="shared" si="8"/>
        <v>0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6"/>
        <v>0</v>
      </c>
      <c r="P156">
        <f t="shared" si="7"/>
        <v>1</v>
      </c>
      <c r="Q156">
        <f t="shared" si="8"/>
        <v>0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6"/>
        <v>0</v>
      </c>
      <c r="P157">
        <f t="shared" si="7"/>
        <v>1</v>
      </c>
      <c r="Q157">
        <f t="shared" si="8"/>
        <v>0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6"/>
        <v>0</v>
      </c>
      <c r="P158">
        <f t="shared" si="7"/>
        <v>0</v>
      </c>
      <c r="Q158">
        <f t="shared" si="8"/>
        <v>0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6"/>
        <v>0</v>
      </c>
      <c r="P159">
        <f t="shared" si="7"/>
        <v>0</v>
      </c>
      <c r="Q159">
        <f t="shared" si="8"/>
        <v>0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6"/>
        <v>0</v>
      </c>
      <c r="P160">
        <f t="shared" si="7"/>
        <v>0</v>
      </c>
      <c r="Q160">
        <f t="shared" si="8"/>
        <v>0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6"/>
        <v>0</v>
      </c>
      <c r="P161">
        <f t="shared" si="7"/>
        <v>0</v>
      </c>
      <c r="Q161">
        <f t="shared" si="8"/>
        <v>0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6"/>
        <v>1</v>
      </c>
      <c r="P162">
        <f t="shared" si="7"/>
        <v>0</v>
      </c>
      <c r="Q162">
        <f t="shared" si="8"/>
        <v>0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6"/>
        <v>1</v>
      </c>
      <c r="P163">
        <f t="shared" si="7"/>
        <v>0</v>
      </c>
      <c r="Q163">
        <f t="shared" si="8"/>
        <v>0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6"/>
        <v>1</v>
      </c>
      <c r="P164">
        <f t="shared" si="7"/>
        <v>0</v>
      </c>
      <c r="Q164">
        <f t="shared" si="8"/>
        <v>0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6"/>
        <v>1</v>
      </c>
      <c r="P165">
        <f t="shared" si="7"/>
        <v>0</v>
      </c>
      <c r="Q165">
        <f t="shared" si="8"/>
        <v>0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6"/>
        <v>0</v>
      </c>
      <c r="P166">
        <f t="shared" si="7"/>
        <v>0</v>
      </c>
      <c r="Q166">
        <f t="shared" si="8"/>
        <v>0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6"/>
        <v>0</v>
      </c>
      <c r="P167">
        <f t="shared" si="7"/>
        <v>0</v>
      </c>
      <c r="Q167">
        <f t="shared" si="8"/>
        <v>0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6"/>
        <v>0</v>
      </c>
      <c r="P168">
        <f t="shared" si="7"/>
        <v>0</v>
      </c>
      <c r="Q168">
        <f t="shared" si="8"/>
        <v>0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6"/>
        <v>0</v>
      </c>
      <c r="P169">
        <f t="shared" si="7"/>
        <v>0</v>
      </c>
      <c r="Q169">
        <f t="shared" si="8"/>
        <v>0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6"/>
        <v>0</v>
      </c>
      <c r="P170">
        <f t="shared" si="7"/>
        <v>1</v>
      </c>
      <c r="Q170">
        <f t="shared" si="8"/>
        <v>0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6"/>
        <v>0</v>
      </c>
      <c r="P171">
        <f t="shared" si="7"/>
        <v>1</v>
      </c>
      <c r="Q171">
        <f t="shared" si="8"/>
        <v>0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6"/>
        <v>0</v>
      </c>
      <c r="P172">
        <f t="shared" si="7"/>
        <v>1</v>
      </c>
      <c r="Q172">
        <f t="shared" si="8"/>
        <v>0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6"/>
        <v>0</v>
      </c>
      <c r="P173">
        <f t="shared" si="7"/>
        <v>1</v>
      </c>
      <c r="Q173">
        <f t="shared" si="8"/>
        <v>0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6"/>
        <v>0</v>
      </c>
      <c r="P174">
        <f t="shared" si="7"/>
        <v>1</v>
      </c>
      <c r="Q174">
        <f t="shared" si="8"/>
        <v>0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6"/>
        <v>0</v>
      </c>
      <c r="P175">
        <f t="shared" si="7"/>
        <v>1</v>
      </c>
      <c r="Q175">
        <f t="shared" si="8"/>
        <v>0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6"/>
        <v>0</v>
      </c>
      <c r="P176">
        <f t="shared" si="7"/>
        <v>1</v>
      </c>
      <c r="Q176">
        <f t="shared" si="8"/>
        <v>0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6"/>
        <v>0</v>
      </c>
      <c r="P177">
        <f t="shared" si="7"/>
        <v>1</v>
      </c>
      <c r="Q177">
        <f t="shared" si="8"/>
        <v>0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6"/>
        <v>0</v>
      </c>
      <c r="P182">
        <f t="shared" si="7"/>
        <v>0</v>
      </c>
      <c r="Q182">
        <f t="shared" si="8"/>
        <v>1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6"/>
        <v>0</v>
      </c>
      <c r="P183">
        <f t="shared" si="7"/>
        <v>0</v>
      </c>
      <c r="Q183">
        <f t="shared" si="8"/>
        <v>1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6"/>
        <v>0</v>
      </c>
      <c r="P184">
        <f t="shared" si="7"/>
        <v>0</v>
      </c>
      <c r="Q184">
        <f t="shared" si="8"/>
        <v>1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6"/>
        <v>0</v>
      </c>
      <c r="P186">
        <f t="shared" si="7"/>
        <v>0</v>
      </c>
      <c r="Q186">
        <f t="shared" si="8"/>
        <v>0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6"/>
        <v>0</v>
      </c>
      <c r="P187">
        <f t="shared" si="7"/>
        <v>0</v>
      </c>
      <c r="Q187">
        <f t="shared" si="8"/>
        <v>0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6"/>
        <v>0</v>
      </c>
      <c r="P188">
        <f t="shared" si="7"/>
        <v>0</v>
      </c>
      <c r="Q188">
        <f t="shared" si="8"/>
        <v>0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6"/>
        <v>0</v>
      </c>
      <c r="P189">
        <f t="shared" si="7"/>
        <v>0</v>
      </c>
      <c r="Q189">
        <f t="shared" si="8"/>
        <v>0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6"/>
        <v>0</v>
      </c>
      <c r="P190">
        <f t="shared" si="7"/>
        <v>1</v>
      </c>
      <c r="Q190">
        <f t="shared" si="8"/>
        <v>0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6"/>
        <v>0</v>
      </c>
      <c r="P191">
        <f t="shared" si="7"/>
        <v>1</v>
      </c>
      <c r="Q191">
        <f t="shared" si="8"/>
        <v>0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6"/>
        <v>0</v>
      </c>
      <c r="P192">
        <f t="shared" si="7"/>
        <v>1</v>
      </c>
      <c r="Q192">
        <f t="shared" si="8"/>
        <v>0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6"/>
        <v>0</v>
      </c>
      <c r="P193">
        <f t="shared" si="7"/>
        <v>1</v>
      </c>
      <c r="Q193">
        <f t="shared" si="8"/>
        <v>0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9">IF(C195="South",1,0)</f>
        <v>0</v>
      </c>
      <c r="P195">
        <f t="shared" ref="P195:P258" si="10">IF(C195="East",1,0)</f>
        <v>0</v>
      </c>
      <c r="Q195">
        <f t="shared" ref="Q195:Q258" si="11">IF(C195="West",1,0)</f>
        <v>1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9"/>
        <v>0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9"/>
        <v>0</v>
      </c>
      <c r="P199">
        <f t="shared" si="10"/>
        <v>0</v>
      </c>
      <c r="Q199">
        <f t="shared" si="11"/>
        <v>0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9"/>
        <v>0</v>
      </c>
      <c r="P200">
        <f t="shared" si="10"/>
        <v>0</v>
      </c>
      <c r="Q200">
        <f t="shared" si="11"/>
        <v>0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9"/>
        <v>0</v>
      </c>
      <c r="P202">
        <f t="shared" si="10"/>
        <v>1</v>
      </c>
      <c r="Q202">
        <f t="shared" si="11"/>
        <v>0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9"/>
        <v>0</v>
      </c>
      <c r="P203">
        <f t="shared" si="10"/>
        <v>1</v>
      </c>
      <c r="Q203">
        <f t="shared" si="11"/>
        <v>0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9"/>
        <v>0</v>
      </c>
      <c r="P204">
        <f t="shared" si="10"/>
        <v>1</v>
      </c>
      <c r="Q204">
        <f t="shared" si="11"/>
        <v>0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9"/>
        <v>0</v>
      </c>
      <c r="P205">
        <f t="shared" si="10"/>
        <v>1</v>
      </c>
      <c r="Q205">
        <f t="shared" si="11"/>
        <v>0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9"/>
        <v>0</v>
      </c>
      <c r="P206">
        <f t="shared" si="10"/>
        <v>1</v>
      </c>
      <c r="Q206">
        <f t="shared" si="11"/>
        <v>0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9"/>
        <v>0</v>
      </c>
      <c r="P207">
        <f t="shared" si="10"/>
        <v>1</v>
      </c>
      <c r="Q207">
        <f t="shared" si="11"/>
        <v>0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9"/>
        <v>0</v>
      </c>
      <c r="P208">
        <f t="shared" si="10"/>
        <v>1</v>
      </c>
      <c r="Q208">
        <f t="shared" si="11"/>
        <v>0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9"/>
        <v>0</v>
      </c>
      <c r="P209">
        <f t="shared" si="10"/>
        <v>1</v>
      </c>
      <c r="Q209">
        <f t="shared" si="11"/>
        <v>0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9"/>
        <v>0</v>
      </c>
      <c r="P210">
        <f t="shared" si="10"/>
        <v>1</v>
      </c>
      <c r="Q210">
        <f t="shared" si="11"/>
        <v>0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9"/>
        <v>0</v>
      </c>
      <c r="P211">
        <f t="shared" si="10"/>
        <v>1</v>
      </c>
      <c r="Q211">
        <f t="shared" si="11"/>
        <v>0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9"/>
        <v>0</v>
      </c>
      <c r="P212">
        <f t="shared" si="10"/>
        <v>1</v>
      </c>
      <c r="Q212">
        <f t="shared" si="11"/>
        <v>0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9"/>
        <v>0</v>
      </c>
      <c r="P213">
        <f t="shared" si="10"/>
        <v>1</v>
      </c>
      <c r="Q213">
        <f t="shared" si="11"/>
        <v>0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9"/>
        <v>0</v>
      </c>
      <c r="P214">
        <f t="shared" si="10"/>
        <v>0</v>
      </c>
      <c r="Q214">
        <f t="shared" si="11"/>
        <v>1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9"/>
        <v>0</v>
      </c>
      <c r="P215">
        <f t="shared" si="10"/>
        <v>0</v>
      </c>
      <c r="Q215">
        <f t="shared" si="11"/>
        <v>1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9"/>
        <v>0</v>
      </c>
      <c r="P216">
        <f t="shared" si="10"/>
        <v>0</v>
      </c>
      <c r="Q216">
        <f t="shared" si="11"/>
        <v>1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9"/>
        <v>0</v>
      </c>
      <c r="P218">
        <f t="shared" si="10"/>
        <v>0</v>
      </c>
      <c r="Q218">
        <f t="shared" si="11"/>
        <v>0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9"/>
        <v>0</v>
      </c>
      <c r="P219">
        <f t="shared" si="10"/>
        <v>0</v>
      </c>
      <c r="Q219">
        <f t="shared" si="11"/>
        <v>0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9"/>
        <v>0</v>
      </c>
      <c r="P220">
        <f t="shared" si="10"/>
        <v>0</v>
      </c>
      <c r="Q220">
        <f t="shared" si="11"/>
        <v>0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9"/>
        <v>0</v>
      </c>
      <c r="P221">
        <f t="shared" si="10"/>
        <v>0</v>
      </c>
      <c r="Q221">
        <f t="shared" si="11"/>
        <v>0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9"/>
        <v>0</v>
      </c>
      <c r="P222">
        <f t="shared" si="10"/>
        <v>1</v>
      </c>
      <c r="Q222">
        <f t="shared" si="11"/>
        <v>0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9"/>
        <v>0</v>
      </c>
      <c r="P223">
        <f t="shared" si="10"/>
        <v>1</v>
      </c>
      <c r="Q223">
        <f t="shared" si="11"/>
        <v>0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9"/>
        <v>0</v>
      </c>
      <c r="P224">
        <f t="shared" si="10"/>
        <v>1</v>
      </c>
      <c r="Q224">
        <f t="shared" si="11"/>
        <v>0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9"/>
        <v>0</v>
      </c>
      <c r="P225">
        <f t="shared" si="10"/>
        <v>1</v>
      </c>
      <c r="Q225">
        <f t="shared" si="11"/>
        <v>0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9"/>
        <v>0</v>
      </c>
      <c r="P226">
        <f t="shared" si="10"/>
        <v>1</v>
      </c>
      <c r="Q226">
        <f t="shared" si="11"/>
        <v>0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9"/>
        <v>0</v>
      </c>
      <c r="P227">
        <f t="shared" si="10"/>
        <v>1</v>
      </c>
      <c r="Q227">
        <f t="shared" si="11"/>
        <v>0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9"/>
        <v>0</v>
      </c>
      <c r="P228">
        <f t="shared" si="10"/>
        <v>1</v>
      </c>
      <c r="Q228">
        <f t="shared" si="11"/>
        <v>0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 t="shared" si="9"/>
        <v>0</v>
      </c>
      <c r="P229">
        <f t="shared" si="10"/>
        <v>1</v>
      </c>
      <c r="Q229">
        <f t="shared" si="11"/>
        <v>0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9"/>
        <v>0</v>
      </c>
      <c r="P230">
        <f t="shared" si="10"/>
        <v>1</v>
      </c>
      <c r="Q230">
        <f t="shared" si="11"/>
        <v>0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9"/>
        <v>0</v>
      </c>
      <c r="P231">
        <f t="shared" si="10"/>
        <v>1</v>
      </c>
      <c r="Q231">
        <f t="shared" si="11"/>
        <v>0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9"/>
        <v>0</v>
      </c>
      <c r="P233">
        <f t="shared" si="10"/>
        <v>1</v>
      </c>
      <c r="Q233">
        <f t="shared" si="11"/>
        <v>0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9"/>
        <v>0</v>
      </c>
      <c r="P236">
        <f t="shared" si="10"/>
        <v>0</v>
      </c>
      <c r="Q236">
        <f t="shared" si="11"/>
        <v>1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9"/>
        <v>0</v>
      </c>
      <c r="P237">
        <f t="shared" si="10"/>
        <v>0</v>
      </c>
      <c r="Q237">
        <f t="shared" si="11"/>
        <v>1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9"/>
        <v>1</v>
      </c>
      <c r="P242">
        <f t="shared" si="10"/>
        <v>0</v>
      </c>
      <c r="Q242">
        <f t="shared" si="11"/>
        <v>0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9"/>
        <v>1</v>
      </c>
      <c r="P243">
        <f t="shared" si="10"/>
        <v>0</v>
      </c>
      <c r="Q243">
        <f t="shared" si="11"/>
        <v>0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9"/>
        <v>1</v>
      </c>
      <c r="P244">
        <f t="shared" si="10"/>
        <v>0</v>
      </c>
      <c r="Q244">
        <f t="shared" si="11"/>
        <v>0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9"/>
        <v>1</v>
      </c>
      <c r="P245">
        <f t="shared" si="10"/>
        <v>0</v>
      </c>
      <c r="Q245">
        <f t="shared" si="11"/>
        <v>0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9"/>
        <v>0</v>
      </c>
      <c r="P246">
        <f t="shared" si="10"/>
        <v>1</v>
      </c>
      <c r="Q246">
        <f t="shared" si="11"/>
        <v>0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9"/>
        <v>0</v>
      </c>
      <c r="P247">
        <f t="shared" si="10"/>
        <v>1</v>
      </c>
      <c r="Q247">
        <f t="shared" si="11"/>
        <v>0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9"/>
        <v>0</v>
      </c>
      <c r="P248">
        <f t="shared" si="10"/>
        <v>1</v>
      </c>
      <c r="Q248">
        <f t="shared" si="11"/>
        <v>0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9"/>
        <v>0</v>
      </c>
      <c r="P250">
        <f t="shared" si="10"/>
        <v>0</v>
      </c>
      <c r="Q250">
        <f t="shared" si="11"/>
        <v>0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9"/>
        <v>0</v>
      </c>
      <c r="P251">
        <f t="shared" si="10"/>
        <v>0</v>
      </c>
      <c r="Q251">
        <f t="shared" si="11"/>
        <v>0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9"/>
        <v>0</v>
      </c>
      <c r="P252">
        <f t="shared" si="10"/>
        <v>0</v>
      </c>
      <c r="Q252">
        <f t="shared" si="11"/>
        <v>0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9"/>
        <v>0</v>
      </c>
      <c r="P253">
        <f t="shared" si="10"/>
        <v>0</v>
      </c>
      <c r="Q253">
        <f t="shared" si="11"/>
        <v>0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9"/>
        <v>1</v>
      </c>
      <c r="P254">
        <f t="shared" si="10"/>
        <v>0</v>
      </c>
      <c r="Q254">
        <f t="shared" si="11"/>
        <v>0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9"/>
        <v>1</v>
      </c>
      <c r="P256">
        <f t="shared" si="10"/>
        <v>0</v>
      </c>
      <c r="Q256">
        <f t="shared" si="11"/>
        <v>0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9"/>
        <v>1</v>
      </c>
      <c r="P258">
        <f t="shared" si="10"/>
        <v>0</v>
      </c>
      <c r="Q258">
        <f t="shared" si="11"/>
        <v>0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12">IF(C259="South",1,0)</f>
        <v>1</v>
      </c>
      <c r="P259">
        <f t="shared" ref="P259:P321" si="13">IF(C259="East",1,0)</f>
        <v>0</v>
      </c>
      <c r="Q259">
        <f t="shared" ref="Q259:Q321" si="14">IF(C259="West",1,0)</f>
        <v>0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12"/>
        <v>1</v>
      </c>
      <c r="P260">
        <f t="shared" si="13"/>
        <v>0</v>
      </c>
      <c r="Q260">
        <f t="shared" si="14"/>
        <v>0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12"/>
        <v>1</v>
      </c>
      <c r="P261">
        <f t="shared" si="13"/>
        <v>0</v>
      </c>
      <c r="Q261">
        <f t="shared" si="14"/>
        <v>0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12"/>
        <v>0</v>
      </c>
      <c r="P262">
        <f t="shared" si="13"/>
        <v>0</v>
      </c>
      <c r="Q262">
        <f t="shared" si="14"/>
        <v>1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12"/>
        <v>0</v>
      </c>
      <c r="P263">
        <f t="shared" si="13"/>
        <v>0</v>
      </c>
      <c r="Q263">
        <f t="shared" si="14"/>
        <v>1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12"/>
        <v>0</v>
      </c>
      <c r="P264">
        <f t="shared" si="13"/>
        <v>0</v>
      </c>
      <c r="Q264">
        <f t="shared" si="14"/>
        <v>1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12"/>
        <v>0</v>
      </c>
      <c r="P265">
        <f t="shared" si="13"/>
        <v>0</v>
      </c>
      <c r="Q265">
        <f t="shared" si="14"/>
        <v>1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12"/>
        <v>0</v>
      </c>
      <c r="P266">
        <f t="shared" si="13"/>
        <v>1</v>
      </c>
      <c r="Q266">
        <f t="shared" si="14"/>
        <v>0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12"/>
        <v>0</v>
      </c>
      <c r="P268">
        <f t="shared" si="13"/>
        <v>1</v>
      </c>
      <c r="Q268">
        <f t="shared" si="14"/>
        <v>0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12"/>
        <v>0</v>
      </c>
      <c r="P269">
        <f t="shared" si="13"/>
        <v>1</v>
      </c>
      <c r="Q269">
        <f t="shared" si="14"/>
        <v>0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12"/>
        <v>0</v>
      </c>
      <c r="P270">
        <f t="shared" si="13"/>
        <v>1</v>
      </c>
      <c r="Q270">
        <f t="shared" si="14"/>
        <v>0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12"/>
        <v>0</v>
      </c>
      <c r="P271">
        <f t="shared" si="13"/>
        <v>1</v>
      </c>
      <c r="Q271">
        <f t="shared" si="14"/>
        <v>0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12"/>
        <v>0</v>
      </c>
      <c r="P272">
        <f t="shared" si="13"/>
        <v>1</v>
      </c>
      <c r="Q272">
        <f t="shared" si="14"/>
        <v>0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12"/>
        <v>0</v>
      </c>
      <c r="P273">
        <f t="shared" si="13"/>
        <v>1</v>
      </c>
      <c r="Q273">
        <f t="shared" si="14"/>
        <v>0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12"/>
        <v>0</v>
      </c>
      <c r="P274">
        <f t="shared" si="13"/>
        <v>0</v>
      </c>
      <c r="Q274">
        <f t="shared" si="14"/>
        <v>1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12"/>
        <v>0</v>
      </c>
      <c r="P275">
        <f t="shared" si="13"/>
        <v>0</v>
      </c>
      <c r="Q275">
        <f t="shared" si="14"/>
        <v>1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12"/>
        <v>0</v>
      </c>
      <c r="P276">
        <f t="shared" si="13"/>
        <v>0</v>
      </c>
      <c r="Q276">
        <f t="shared" si="14"/>
        <v>1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12"/>
        <v>0</v>
      </c>
      <c r="P277">
        <f t="shared" si="13"/>
        <v>0</v>
      </c>
      <c r="Q277">
        <f t="shared" si="14"/>
        <v>1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12"/>
        <v>1</v>
      </c>
      <c r="P278">
        <f t="shared" si="13"/>
        <v>0</v>
      </c>
      <c r="Q278">
        <f t="shared" si="14"/>
        <v>0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12"/>
        <v>1</v>
      </c>
      <c r="P279">
        <f t="shared" si="13"/>
        <v>0</v>
      </c>
      <c r="Q279">
        <f t="shared" si="14"/>
        <v>0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12"/>
        <v>1</v>
      </c>
      <c r="P280">
        <f t="shared" si="13"/>
        <v>0</v>
      </c>
      <c r="Q280">
        <f t="shared" si="14"/>
        <v>0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12"/>
        <v>1</v>
      </c>
      <c r="P281">
        <f t="shared" si="13"/>
        <v>0</v>
      </c>
      <c r="Q281">
        <f t="shared" si="14"/>
        <v>0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12"/>
        <v>1</v>
      </c>
      <c r="P282">
        <f t="shared" si="13"/>
        <v>0</v>
      </c>
      <c r="Q282">
        <f t="shared" si="14"/>
        <v>0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12"/>
        <v>1</v>
      </c>
      <c r="P283">
        <f t="shared" si="13"/>
        <v>0</v>
      </c>
      <c r="Q283">
        <f t="shared" si="14"/>
        <v>0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12"/>
        <v>1</v>
      </c>
      <c r="P284">
        <f t="shared" si="13"/>
        <v>0</v>
      </c>
      <c r="Q284">
        <f t="shared" si="14"/>
        <v>0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12"/>
        <v>1</v>
      </c>
      <c r="P285">
        <f t="shared" si="13"/>
        <v>0</v>
      </c>
      <c r="Q285">
        <f t="shared" si="14"/>
        <v>0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12"/>
        <v>0</v>
      </c>
      <c r="P286">
        <f t="shared" si="13"/>
        <v>0</v>
      </c>
      <c r="Q286">
        <f t="shared" si="14"/>
        <v>1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12"/>
        <v>0</v>
      </c>
      <c r="P287">
        <f t="shared" si="13"/>
        <v>0</v>
      </c>
      <c r="Q287">
        <f t="shared" si="14"/>
        <v>1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12"/>
        <v>0</v>
      </c>
      <c r="P288">
        <f t="shared" si="13"/>
        <v>0</v>
      </c>
      <c r="Q288">
        <f t="shared" si="14"/>
        <v>1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12"/>
        <v>0</v>
      </c>
      <c r="P289">
        <f t="shared" si="13"/>
        <v>0</v>
      </c>
      <c r="Q289">
        <f t="shared" si="14"/>
        <v>1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12"/>
        <v>0</v>
      </c>
      <c r="P290">
        <f t="shared" si="13"/>
        <v>1</v>
      </c>
      <c r="Q290">
        <f t="shared" si="14"/>
        <v>0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12"/>
        <v>0</v>
      </c>
      <c r="P291">
        <f t="shared" si="13"/>
        <v>1</v>
      </c>
      <c r="Q291">
        <f t="shared" si="14"/>
        <v>0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12"/>
        <v>0</v>
      </c>
      <c r="P292">
        <f t="shared" si="13"/>
        <v>1</v>
      </c>
      <c r="Q292">
        <f t="shared" si="14"/>
        <v>0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12"/>
        <v>0</v>
      </c>
      <c r="P293">
        <f t="shared" si="13"/>
        <v>1</v>
      </c>
      <c r="Q293">
        <f t="shared" si="14"/>
        <v>0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12"/>
        <v>0</v>
      </c>
      <c r="P294">
        <f t="shared" si="13"/>
        <v>0</v>
      </c>
      <c r="Q294">
        <f t="shared" si="14"/>
        <v>1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12"/>
        <v>0</v>
      </c>
      <c r="P295">
        <f t="shared" si="13"/>
        <v>0</v>
      </c>
      <c r="Q295">
        <f t="shared" si="14"/>
        <v>1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12"/>
        <v>0</v>
      </c>
      <c r="P297">
        <f t="shared" si="13"/>
        <v>0</v>
      </c>
      <c r="Q297">
        <f t="shared" si="14"/>
        <v>1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12"/>
        <v>0</v>
      </c>
      <c r="P300">
        <f t="shared" si="13"/>
        <v>0</v>
      </c>
      <c r="Q300">
        <f t="shared" si="14"/>
        <v>1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12"/>
        <v>0</v>
      </c>
      <c r="P302">
        <f t="shared" si="13"/>
        <v>0</v>
      </c>
      <c r="Q302">
        <f t="shared" si="14"/>
        <v>0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12"/>
        <v>0</v>
      </c>
      <c r="P303">
        <f t="shared" si="13"/>
        <v>0</v>
      </c>
      <c r="Q303">
        <f t="shared" si="14"/>
        <v>0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12"/>
        <v>0</v>
      </c>
      <c r="P304">
        <f t="shared" si="13"/>
        <v>0</v>
      </c>
      <c r="Q304">
        <f t="shared" si="14"/>
        <v>0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12"/>
        <v>0</v>
      </c>
      <c r="P305">
        <f t="shared" si="13"/>
        <v>0</v>
      </c>
      <c r="Q305">
        <f t="shared" si="14"/>
        <v>0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12"/>
        <v>1</v>
      </c>
      <c r="P306">
        <f t="shared" si="13"/>
        <v>0</v>
      </c>
      <c r="Q306">
        <f t="shared" si="14"/>
        <v>0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12"/>
        <v>1</v>
      </c>
      <c r="P307">
        <f t="shared" si="13"/>
        <v>0</v>
      </c>
      <c r="Q307">
        <f t="shared" si="14"/>
        <v>0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12"/>
        <v>1</v>
      </c>
      <c r="P308">
        <f t="shared" si="13"/>
        <v>0</v>
      </c>
      <c r="Q308">
        <f t="shared" si="14"/>
        <v>0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12"/>
        <v>1</v>
      </c>
      <c r="P309">
        <f t="shared" si="13"/>
        <v>0</v>
      </c>
      <c r="Q309">
        <f t="shared" si="14"/>
        <v>0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12"/>
        <v>1</v>
      </c>
      <c r="P310">
        <f t="shared" si="13"/>
        <v>0</v>
      </c>
      <c r="Q310">
        <f t="shared" si="14"/>
        <v>0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12"/>
        <v>1</v>
      </c>
      <c r="P311">
        <f t="shared" si="13"/>
        <v>0</v>
      </c>
      <c r="Q311">
        <f t="shared" si="14"/>
        <v>0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12"/>
        <v>1</v>
      </c>
      <c r="P312">
        <f t="shared" si="13"/>
        <v>0</v>
      </c>
      <c r="Q312">
        <f t="shared" si="14"/>
        <v>0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 t="shared" si="12"/>
        <v>1</v>
      </c>
      <c r="P313">
        <f t="shared" si="13"/>
        <v>0</v>
      </c>
      <c r="Q313">
        <f t="shared" si="14"/>
        <v>0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12"/>
        <v>0</v>
      </c>
      <c r="P314">
        <f t="shared" si="13"/>
        <v>0</v>
      </c>
      <c r="Q314">
        <f t="shared" si="14"/>
        <v>0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 t="shared" si="12"/>
        <v>0</v>
      </c>
      <c r="P315">
        <f t="shared" si="13"/>
        <v>0</v>
      </c>
      <c r="Q315">
        <f t="shared" si="14"/>
        <v>0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12"/>
        <v>0</v>
      </c>
      <c r="P318">
        <f t="shared" si="13"/>
        <v>1</v>
      </c>
      <c r="Q318">
        <f t="shared" si="14"/>
        <v>0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12"/>
        <v>0</v>
      </c>
      <c r="P319">
        <f t="shared" si="13"/>
        <v>1</v>
      </c>
      <c r="Q319">
        <f t="shared" si="14"/>
        <v>0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12"/>
        <v>0</v>
      </c>
      <c r="P320">
        <f t="shared" si="13"/>
        <v>1</v>
      </c>
      <c r="Q320">
        <f t="shared" si="14"/>
        <v>0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12"/>
        <v>0</v>
      </c>
      <c r="P321">
        <f t="shared" si="13"/>
        <v>1</v>
      </c>
      <c r="Q321">
        <f t="shared" si="1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6558-6549-40B4-BF93-521A323BC33A}">
  <dimension ref="A1:I18"/>
  <sheetViews>
    <sheetView workbookViewId="0">
      <selection activeCell="M36" sqref="M36"/>
    </sheetView>
  </sheetViews>
  <sheetFormatPr defaultRowHeight="15"/>
  <sheetData>
    <row r="1" spans="1:9">
      <c r="A1" t="s">
        <v>102</v>
      </c>
    </row>
    <row r="2" spans="1:9" ht="15.75" thickBot="1"/>
    <row r="3" spans="1:9">
      <c r="A3" s="9" t="s">
        <v>103</v>
      </c>
      <c r="B3" s="9"/>
    </row>
    <row r="4" spans="1:9">
      <c r="A4" s="6" t="s">
        <v>104</v>
      </c>
      <c r="B4" s="6">
        <v>0.40895561021322352</v>
      </c>
    </row>
    <row r="5" spans="1:9">
      <c r="A5" s="6" t="s">
        <v>105</v>
      </c>
      <c r="B5" s="6">
        <v>0.16724469112487</v>
      </c>
    </row>
    <row r="6" spans="1:9">
      <c r="A6" s="6" t="s">
        <v>106</v>
      </c>
      <c r="B6" s="6">
        <v>0.16462596373847024</v>
      </c>
    </row>
    <row r="7" spans="1:9">
      <c r="A7" s="6" t="s">
        <v>107</v>
      </c>
      <c r="B7" s="6">
        <v>94846.03383215853</v>
      </c>
    </row>
    <row r="8" spans="1:9" ht="15.75" thickBot="1">
      <c r="A8" s="7" t="s">
        <v>108</v>
      </c>
      <c r="B8" s="7">
        <v>320</v>
      </c>
    </row>
    <row r="10" spans="1:9" ht="15.75" thickBot="1">
      <c r="A10" t="s">
        <v>109</v>
      </c>
    </row>
    <row r="11" spans="1:9">
      <c r="A11" s="8"/>
      <c r="B11" s="8" t="s">
        <v>114</v>
      </c>
      <c r="C11" s="8" t="s">
        <v>115</v>
      </c>
      <c r="D11" s="8" t="s">
        <v>116</v>
      </c>
      <c r="E11" s="8" t="s">
        <v>117</v>
      </c>
      <c r="F11" s="8" t="s">
        <v>118</v>
      </c>
    </row>
    <row r="12" spans="1:9">
      <c r="A12" s="6" t="s">
        <v>110</v>
      </c>
      <c r="B12" s="6">
        <v>1</v>
      </c>
      <c r="C12" s="6">
        <v>574513714277.01416</v>
      </c>
      <c r="D12" s="6">
        <v>574513714277.01416</v>
      </c>
      <c r="E12" s="6">
        <v>63.864872683367629</v>
      </c>
      <c r="F12" s="6">
        <v>2.4800615101359619E-14</v>
      </c>
    </row>
    <row r="13" spans="1:9">
      <c r="A13" s="6" t="s">
        <v>111</v>
      </c>
      <c r="B13" s="6">
        <v>318</v>
      </c>
      <c r="C13" s="6">
        <v>2860654902513.7251</v>
      </c>
      <c r="D13" s="6">
        <v>8995770133.6909599</v>
      </c>
      <c r="E13" s="6"/>
      <c r="F13" s="6"/>
    </row>
    <row r="14" spans="1:9" ht="15.75" thickBot="1">
      <c r="A14" s="7" t="s">
        <v>112</v>
      </c>
      <c r="B14" s="7">
        <v>319</v>
      </c>
      <c r="C14" s="7">
        <v>3435168616790.7393</v>
      </c>
      <c r="D14" s="7"/>
      <c r="E14" s="7"/>
      <c r="F14" s="7"/>
    </row>
    <row r="15" spans="1:9" ht="15.75" thickBot="1"/>
    <row r="16" spans="1:9">
      <c r="A16" s="8"/>
      <c r="B16" s="8" t="s">
        <v>119</v>
      </c>
      <c r="C16" s="8" t="s">
        <v>107</v>
      </c>
      <c r="D16" s="8" t="s">
        <v>120</v>
      </c>
      <c r="E16" s="8" t="s">
        <v>121</v>
      </c>
      <c r="F16" s="8" t="s">
        <v>122</v>
      </c>
      <c r="G16" s="8" t="s">
        <v>123</v>
      </c>
      <c r="H16" s="8" t="s">
        <v>124</v>
      </c>
      <c r="I16" s="8" t="s">
        <v>125</v>
      </c>
    </row>
    <row r="17" spans="1:9">
      <c r="A17" s="6" t="s">
        <v>113</v>
      </c>
      <c r="B17" s="6">
        <v>560777.34544943704</v>
      </c>
      <c r="C17" s="6">
        <v>15906.905953068674</v>
      </c>
      <c r="D17" s="6">
        <v>35.253703460870398</v>
      </c>
      <c r="E17" s="6">
        <v>6.952876876284135E-112</v>
      </c>
      <c r="F17" s="6">
        <v>529481.27234763221</v>
      </c>
      <c r="G17" s="6">
        <v>592073.41855124186</v>
      </c>
      <c r="H17" s="6">
        <v>529481.27234763221</v>
      </c>
      <c r="I17" s="6">
        <v>592073.41855124186</v>
      </c>
    </row>
    <row r="18" spans="1:9" ht="15.75" thickBot="1">
      <c r="A18" s="7" t="s">
        <v>4</v>
      </c>
      <c r="B18" s="7">
        <v>2.1295753275898281</v>
      </c>
      <c r="C18" s="7">
        <v>0.26647838106932348</v>
      </c>
      <c r="D18" s="7">
        <v>7.991550080138869</v>
      </c>
      <c r="E18" s="7">
        <v>2.4800615101360068E-14</v>
      </c>
      <c r="F18" s="7">
        <v>1.6052919176921738</v>
      </c>
      <c r="G18" s="7">
        <v>2.6538587374874822</v>
      </c>
      <c r="H18" s="7">
        <v>1.6052919176921738</v>
      </c>
      <c r="I18" s="7">
        <v>2.6538587374874822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166C-E7F2-41D8-A73B-083CAF0E5015}">
  <dimension ref="A1:I18"/>
  <sheetViews>
    <sheetView workbookViewId="0">
      <selection activeCell="P26" sqref="P26"/>
    </sheetView>
  </sheetViews>
  <sheetFormatPr defaultRowHeight="15"/>
  <sheetData>
    <row r="1" spans="1:9">
      <c r="A1" t="s">
        <v>102</v>
      </c>
    </row>
    <row r="2" spans="1:9" ht="15.75" thickBot="1"/>
    <row r="3" spans="1:9">
      <c r="A3" s="9" t="s">
        <v>103</v>
      </c>
      <c r="B3" s="9"/>
    </row>
    <row r="4" spans="1:9">
      <c r="A4" s="6" t="s">
        <v>104</v>
      </c>
      <c r="B4" s="6">
        <v>0.85807070804410468</v>
      </c>
    </row>
    <row r="5" spans="1:9">
      <c r="A5" s="6" t="s">
        <v>105</v>
      </c>
      <c r="B5" s="6">
        <v>0.73628534000331114</v>
      </c>
    </row>
    <row r="6" spans="1:9">
      <c r="A6" s="6" t="s">
        <v>106</v>
      </c>
      <c r="B6" s="6">
        <v>0.73545604861967373</v>
      </c>
    </row>
    <row r="7" spans="1:9">
      <c r="A7" s="6" t="s">
        <v>107</v>
      </c>
      <c r="B7" s="6">
        <v>53373.736380790499</v>
      </c>
    </row>
    <row r="8" spans="1:9" ht="15.75" thickBot="1">
      <c r="A8" s="7" t="s">
        <v>108</v>
      </c>
      <c r="B8" s="7">
        <v>320</v>
      </c>
    </row>
    <row r="10" spans="1:9" ht="15.75" thickBot="1">
      <c r="A10" t="s">
        <v>109</v>
      </c>
    </row>
    <row r="11" spans="1:9">
      <c r="A11" s="8"/>
      <c r="B11" s="8" t="s">
        <v>114</v>
      </c>
      <c r="C11" s="8" t="s">
        <v>115</v>
      </c>
      <c r="D11" s="8" t="s">
        <v>116</v>
      </c>
      <c r="E11" s="8" t="s">
        <v>117</v>
      </c>
      <c r="F11" s="8" t="s">
        <v>118</v>
      </c>
    </row>
    <row r="12" spans="1:9">
      <c r="A12" s="6" t="s">
        <v>110</v>
      </c>
      <c r="B12" s="6">
        <v>1</v>
      </c>
      <c r="C12" s="6">
        <v>2529264292982.4736</v>
      </c>
      <c r="D12" s="6">
        <v>2529264292982.4736</v>
      </c>
      <c r="E12" s="6">
        <v>887.84877611276033</v>
      </c>
      <c r="F12" s="6">
        <v>4.7503615090053331E-94</v>
      </c>
    </row>
    <row r="13" spans="1:9">
      <c r="A13" s="6" t="s">
        <v>111</v>
      </c>
      <c r="B13" s="6">
        <v>318</v>
      </c>
      <c r="C13" s="6">
        <v>905904323808.26587</v>
      </c>
      <c r="D13" s="6">
        <v>2848755735.246119</v>
      </c>
      <c r="E13" s="6"/>
      <c r="F13" s="6"/>
    </row>
    <row r="14" spans="1:9" ht="15.75" thickBot="1">
      <c r="A14" s="7" t="s">
        <v>112</v>
      </c>
      <c r="B14" s="7">
        <v>319</v>
      </c>
      <c r="C14" s="7">
        <v>3435168616790.7393</v>
      </c>
      <c r="D14" s="7"/>
      <c r="E14" s="7"/>
      <c r="F14" s="7"/>
    </row>
    <row r="15" spans="1:9" ht="15.75" thickBot="1"/>
    <row r="16" spans="1:9">
      <c r="A16" s="8"/>
      <c r="B16" s="8" t="s">
        <v>119</v>
      </c>
      <c r="C16" s="8" t="s">
        <v>107</v>
      </c>
      <c r="D16" s="8" t="s">
        <v>120</v>
      </c>
      <c r="E16" s="8" t="s">
        <v>121</v>
      </c>
      <c r="F16" s="8" t="s">
        <v>122</v>
      </c>
      <c r="G16" s="8" t="s">
        <v>123</v>
      </c>
      <c r="H16" s="8" t="s">
        <v>124</v>
      </c>
      <c r="I16" s="8" t="s">
        <v>125</v>
      </c>
    </row>
    <row r="17" spans="1:9">
      <c r="A17" s="6" t="s">
        <v>113</v>
      </c>
      <c r="B17" s="6">
        <v>446410.58293395344</v>
      </c>
      <c r="C17" s="6">
        <v>8407.7382630059928</v>
      </c>
      <c r="D17" s="6">
        <v>53.095204556754318</v>
      </c>
      <c r="E17" s="6">
        <v>4.0862695711507226E-160</v>
      </c>
      <c r="F17" s="6">
        <v>429868.76191129786</v>
      </c>
      <c r="G17" s="6">
        <v>462952.40395660902</v>
      </c>
      <c r="H17" s="6">
        <v>429868.76191129786</v>
      </c>
      <c r="I17" s="6">
        <v>462952.40395660902</v>
      </c>
    </row>
    <row r="18" spans="1:9" ht="15.75" thickBot="1">
      <c r="A18" s="7" t="s">
        <v>5</v>
      </c>
      <c r="B18" s="7">
        <v>35.678031072640458</v>
      </c>
      <c r="C18" s="7">
        <v>1.1973782890340821</v>
      </c>
      <c r="D18" s="7">
        <v>29.796791372776362</v>
      </c>
      <c r="E18" s="7">
        <v>4.7503615090054677E-94</v>
      </c>
      <c r="F18" s="7">
        <v>33.322246825554025</v>
      </c>
      <c r="G18" s="7">
        <v>38.033815319726891</v>
      </c>
      <c r="H18" s="7">
        <v>33.322246825554025</v>
      </c>
      <c r="I18" s="7">
        <v>38.033815319726891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BBF7-00BA-460D-AE8D-A3736C2C2C7F}">
  <dimension ref="A1:I21"/>
  <sheetViews>
    <sheetView tabSelected="1" workbookViewId="0">
      <selection activeCell="D29" sqref="D29"/>
    </sheetView>
  </sheetViews>
  <sheetFormatPr defaultColWidth="21.140625" defaultRowHeight="15"/>
  <sheetData>
    <row r="1" spans="1:9">
      <c r="A1" s="10" t="s">
        <v>151</v>
      </c>
      <c r="B1" s="13" t="s">
        <v>152</v>
      </c>
      <c r="C1" s="13" t="s">
        <v>111</v>
      </c>
      <c r="D1" s="10" t="s">
        <v>153</v>
      </c>
      <c r="E1" t="s">
        <v>140</v>
      </c>
      <c r="F1" t="s">
        <v>144</v>
      </c>
      <c r="G1" t="s">
        <v>154</v>
      </c>
      <c r="H1" t="s">
        <v>155</v>
      </c>
      <c r="I1" t="s">
        <v>156</v>
      </c>
    </row>
    <row r="2" spans="1:9">
      <c r="A2">
        <v>658832.62</v>
      </c>
      <c r="B2">
        <f>138350.5+(1.148693*E2)+(29.14171*F2)+(-74690.5*G2)+(2494.918*H2)+(2881.869*I2)</f>
        <v>716557.23435322999</v>
      </c>
      <c r="C2">
        <f>A2-B2</f>
        <v>-57724.61435322999</v>
      </c>
      <c r="D2" t="str">
        <f>IF(C2&gt;0,"Under Predicted","Over Predicted")</f>
        <v>Over Predicted</v>
      </c>
      <c r="E2">
        <v>70389.11</v>
      </c>
      <c r="F2">
        <v>8302</v>
      </c>
      <c r="G2">
        <v>4.2000000000000003E-2</v>
      </c>
      <c r="H2">
        <v>17</v>
      </c>
      <c r="I2">
        <v>75</v>
      </c>
    </row>
    <row r="3" spans="1:9">
      <c r="A3">
        <v>634436</v>
      </c>
      <c r="B3">
        <f t="shared" ref="B3:B21" si="0">138350.5+(1.148693*E3)+(29.14171*F3)+(-74690.5*G3)+(2494.918*H3)+(2881.869*I3)</f>
        <v>724085.83681777003</v>
      </c>
      <c r="C3">
        <f t="shared" ref="C3:C21" si="1">A3-B3</f>
        <v>-89649.836817770032</v>
      </c>
      <c r="D3" t="str">
        <f t="shared" ref="D3:D21" si="2">IF(C3&gt;0,"Under Predicted","Over Predicted")</f>
        <v>Over Predicted</v>
      </c>
      <c r="E3">
        <v>43827.89</v>
      </c>
      <c r="F3">
        <v>8487</v>
      </c>
      <c r="G3">
        <v>0.16800000000000001</v>
      </c>
      <c r="H3">
        <v>23</v>
      </c>
      <c r="I3">
        <v>84.4</v>
      </c>
    </row>
    <row r="4" spans="1:9">
      <c r="A4">
        <v>678722.06</v>
      </c>
      <c r="B4">
        <f t="shared" si="0"/>
        <v>766319.59350274992</v>
      </c>
      <c r="C4">
        <f t="shared" si="1"/>
        <v>-87597.533502749866</v>
      </c>
      <c r="D4" t="str">
        <f t="shared" si="2"/>
        <v>Over Predicted</v>
      </c>
      <c r="E4">
        <v>59921.75</v>
      </c>
      <c r="F4">
        <v>9113</v>
      </c>
      <c r="G4">
        <v>0.13300000000000001</v>
      </c>
      <c r="H4">
        <v>20</v>
      </c>
      <c r="I4">
        <v>88</v>
      </c>
    </row>
    <row r="5" spans="1:9">
      <c r="A5">
        <v>658920.30000000005</v>
      </c>
      <c r="B5">
        <f t="shared" si="0"/>
        <v>775708.25899459003</v>
      </c>
      <c r="C5">
        <f t="shared" si="1"/>
        <v>-116787.95899458998</v>
      </c>
      <c r="D5" t="str">
        <f t="shared" si="2"/>
        <v>Over Predicted</v>
      </c>
      <c r="E5">
        <v>56856.63</v>
      </c>
      <c r="F5">
        <v>9431</v>
      </c>
      <c r="G5">
        <v>0.14199999999999999</v>
      </c>
      <c r="H5">
        <v>23</v>
      </c>
      <c r="I5">
        <v>86.9</v>
      </c>
    </row>
    <row r="6" spans="1:9">
      <c r="A6">
        <v>741341.44</v>
      </c>
      <c r="B6">
        <f t="shared" si="0"/>
        <v>788529.56952952011</v>
      </c>
      <c r="C6">
        <f t="shared" si="1"/>
        <v>-47188.129529520171</v>
      </c>
      <c r="D6" t="str">
        <f t="shared" si="2"/>
        <v>Over Predicted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</row>
    <row r="7" spans="1:9">
      <c r="A7">
        <v>761835.34</v>
      </c>
      <c r="B7">
        <f t="shared" si="0"/>
        <v>782340.70136852993</v>
      </c>
      <c r="C7">
        <f t="shared" si="1"/>
        <v>-20505.361368529964</v>
      </c>
      <c r="D7" t="str">
        <f t="shared" si="2"/>
        <v>Over Predicted</v>
      </c>
      <c r="E7">
        <v>64811.21</v>
      </c>
      <c r="F7">
        <v>9792</v>
      </c>
      <c r="G7">
        <v>0.112</v>
      </c>
      <c r="H7">
        <v>20</v>
      </c>
      <c r="I7">
        <v>84.2</v>
      </c>
    </row>
    <row r="8" spans="1:9">
      <c r="A8">
        <v>806615.54</v>
      </c>
      <c r="B8">
        <f t="shared" si="0"/>
        <v>792115.15368085005</v>
      </c>
      <c r="C8">
        <f t="shared" si="1"/>
        <v>14500.386319149984</v>
      </c>
      <c r="D8" t="str">
        <f t="shared" si="2"/>
        <v>Under Predicted</v>
      </c>
      <c r="E8">
        <v>46213.45</v>
      </c>
      <c r="F8">
        <v>10616</v>
      </c>
      <c r="G8">
        <v>0.122</v>
      </c>
      <c r="H8">
        <v>22</v>
      </c>
      <c r="I8">
        <v>85.2</v>
      </c>
    </row>
    <row r="9" spans="1:9">
      <c r="A9">
        <v>850164.26</v>
      </c>
      <c r="B9">
        <f t="shared" si="0"/>
        <v>789693.35435436002</v>
      </c>
      <c r="C9">
        <f t="shared" si="1"/>
        <v>60470.905645639985</v>
      </c>
      <c r="D9" t="str">
        <f t="shared" si="2"/>
        <v>Under Predicted</v>
      </c>
      <c r="E9">
        <v>68148.52</v>
      </c>
      <c r="F9">
        <v>8567</v>
      </c>
      <c r="G9">
        <v>0.127</v>
      </c>
      <c r="H9">
        <v>23</v>
      </c>
      <c r="I9">
        <v>95.6</v>
      </c>
    </row>
    <row r="10" spans="1:9">
      <c r="A10">
        <v>930581.7</v>
      </c>
      <c r="B10">
        <f t="shared" si="0"/>
        <v>844961.13359998004</v>
      </c>
      <c r="C10">
        <f t="shared" si="1"/>
        <v>85620.566400019918</v>
      </c>
      <c r="D10" t="str">
        <f t="shared" si="2"/>
        <v>Under Predicted</v>
      </c>
      <c r="E10">
        <v>71838.86</v>
      </c>
      <c r="F10">
        <v>10979</v>
      </c>
      <c r="G10">
        <v>0.215</v>
      </c>
      <c r="H10">
        <v>26</v>
      </c>
      <c r="I10">
        <v>88.6</v>
      </c>
    </row>
    <row r="11" spans="1:9">
      <c r="A11">
        <v>779010.94</v>
      </c>
      <c r="B11">
        <f t="shared" si="0"/>
        <v>773186.57348391996</v>
      </c>
      <c r="C11">
        <f t="shared" si="1"/>
        <v>5824.3665160799865</v>
      </c>
      <c r="D11" t="str">
        <f t="shared" si="2"/>
        <v>Under Predicted</v>
      </c>
      <c r="E11">
        <v>68133.440000000002</v>
      </c>
      <c r="F11">
        <v>9459</v>
      </c>
      <c r="G11">
        <v>0.22</v>
      </c>
      <c r="H11">
        <v>21</v>
      </c>
      <c r="I11">
        <v>85</v>
      </c>
    </row>
    <row r="12" spans="1:9">
      <c r="A12">
        <v>723060.76</v>
      </c>
      <c r="B12">
        <f t="shared" si="0"/>
        <v>738469.59705053002</v>
      </c>
      <c r="C12">
        <f t="shared" si="1"/>
        <v>-15408.837050530012</v>
      </c>
      <c r="D12" t="str">
        <f t="shared" si="2"/>
        <v>Over Predicted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</row>
    <row r="13" spans="1:9">
      <c r="A13">
        <v>910791.94</v>
      </c>
      <c r="B13">
        <f t="shared" si="0"/>
        <v>859231.66429683997</v>
      </c>
      <c r="C13">
        <f t="shared" si="1"/>
        <v>51560.275703159976</v>
      </c>
      <c r="D13" t="str">
        <f t="shared" si="2"/>
        <v>Under Predicted</v>
      </c>
      <c r="E13">
        <v>67979.88</v>
      </c>
      <c r="F13">
        <v>11230</v>
      </c>
      <c r="G13">
        <v>2E-3</v>
      </c>
      <c r="H13">
        <v>28</v>
      </c>
      <c r="I13">
        <v>85.3</v>
      </c>
    </row>
    <row r="14" spans="1:9">
      <c r="A14">
        <v>922168.6</v>
      </c>
      <c r="B14">
        <f t="shared" si="0"/>
        <v>894776.60401418002</v>
      </c>
      <c r="C14">
        <f t="shared" si="1"/>
        <v>27391.995985819958</v>
      </c>
      <c r="D14" t="str">
        <f t="shared" si="2"/>
        <v>Under Predicted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</row>
    <row r="15" spans="1:9">
      <c r="A15">
        <v>726606.28</v>
      </c>
      <c r="B15">
        <f t="shared" si="0"/>
        <v>788986.67055625992</v>
      </c>
      <c r="C15">
        <f t="shared" si="1"/>
        <v>-62380.390556259896</v>
      </c>
      <c r="D15" t="str">
        <f t="shared" si="2"/>
        <v>Over Predicted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</row>
    <row r="16" spans="1:9">
      <c r="A16">
        <v>746501.09</v>
      </c>
      <c r="B16">
        <f t="shared" si="0"/>
        <v>762647.29242042999</v>
      </c>
      <c r="C16">
        <f t="shared" si="1"/>
        <v>-16146.202420430025</v>
      </c>
      <c r="D16" t="str">
        <f t="shared" si="2"/>
        <v>Over Predicted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</row>
    <row r="17" spans="1:9">
      <c r="A17">
        <v>834017.02</v>
      </c>
      <c r="B17">
        <f t="shared" si="0"/>
        <v>828546.65283703001</v>
      </c>
      <c r="C17">
        <f t="shared" si="1"/>
        <v>5470.3671629700111</v>
      </c>
      <c r="D17" t="str">
        <f t="shared" si="2"/>
        <v>Under Predicted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</row>
    <row r="18" spans="1:9">
      <c r="A18">
        <v>666152.52</v>
      </c>
      <c r="B18">
        <f t="shared" si="0"/>
        <v>689854.84215446003</v>
      </c>
      <c r="C18">
        <f t="shared" si="1"/>
        <v>-23702.322154460009</v>
      </c>
      <c r="D18" t="str">
        <f t="shared" si="2"/>
        <v>Over Predicted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</row>
    <row r="19" spans="1:9">
      <c r="A19">
        <v>573155.18999999994</v>
      </c>
      <c r="B19">
        <f t="shared" si="0"/>
        <v>596507.74453469994</v>
      </c>
      <c r="C19">
        <f t="shared" si="1"/>
        <v>-23352.554534700001</v>
      </c>
      <c r="D19" t="str">
        <f t="shared" si="2"/>
        <v>Over Predicted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</row>
    <row r="20" spans="1:9">
      <c r="A20">
        <v>666573.19999999995</v>
      </c>
      <c r="B20">
        <f t="shared" si="0"/>
        <v>698897.68860615999</v>
      </c>
      <c r="C20">
        <f t="shared" si="1"/>
        <v>-32324.488606160041</v>
      </c>
      <c r="D20" t="str">
        <f t="shared" si="2"/>
        <v>Over Predicted</v>
      </c>
      <c r="E20">
        <v>78831.12</v>
      </c>
      <c r="F20">
        <v>5538</v>
      </c>
      <c r="G20">
        <v>0</v>
      </c>
      <c r="H20">
        <v>15</v>
      </c>
      <c r="I20">
        <v>94.1</v>
      </c>
    </row>
    <row r="21" spans="1:9">
      <c r="A21">
        <v>591619.94999999995</v>
      </c>
      <c r="B21">
        <f t="shared" si="0"/>
        <v>610315.59574749006</v>
      </c>
      <c r="C21">
        <f t="shared" si="1"/>
        <v>-18695.645747490111</v>
      </c>
      <c r="D21" t="str">
        <f t="shared" si="2"/>
        <v>Over Predicted</v>
      </c>
      <c r="E21">
        <v>41441.93</v>
      </c>
      <c r="F21">
        <v>4865</v>
      </c>
      <c r="G21">
        <v>0.158</v>
      </c>
      <c r="H21">
        <v>16</v>
      </c>
      <c r="I21">
        <v>88.3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9855-419C-495B-B14C-F6AAC09200FF}">
  <dimension ref="A1:E4"/>
  <sheetViews>
    <sheetView workbookViewId="0">
      <selection activeCell="J2" sqref="J2"/>
    </sheetView>
  </sheetViews>
  <sheetFormatPr defaultRowHeight="15"/>
  <cols>
    <col min="1" max="1" width="34.7109375" customWidth="1"/>
    <col min="2" max="2" width="43.5703125" customWidth="1"/>
    <col min="3" max="3" width="33.85546875" customWidth="1"/>
    <col min="4" max="4" width="35.28515625" customWidth="1"/>
    <col min="5" max="5" width="46.42578125" customWidth="1"/>
  </cols>
  <sheetData>
    <row r="1" spans="1:5" ht="60">
      <c r="A1" s="10" t="s">
        <v>134</v>
      </c>
      <c r="B1" s="10" t="s">
        <v>135</v>
      </c>
      <c r="C1" s="10" t="s">
        <v>136</v>
      </c>
      <c r="D1" s="10" t="s">
        <v>105</v>
      </c>
      <c r="E1" s="10" t="s">
        <v>137</v>
      </c>
    </row>
    <row r="2" spans="1:5" ht="90">
      <c r="A2" s="11" t="s">
        <v>138</v>
      </c>
      <c r="B2" s="11" t="s">
        <v>139</v>
      </c>
      <c r="C2" s="11" t="s">
        <v>140</v>
      </c>
      <c r="D2" s="12" t="s">
        <v>141</v>
      </c>
      <c r="E2" s="11" t="s">
        <v>142</v>
      </c>
    </row>
    <row r="3" spans="1:5" ht="105">
      <c r="A3" s="11" t="s">
        <v>143</v>
      </c>
      <c r="B3" s="11" t="s">
        <v>139</v>
      </c>
      <c r="C3" s="11" t="s">
        <v>144</v>
      </c>
      <c r="D3" s="12" t="s">
        <v>145</v>
      </c>
      <c r="E3" s="11" t="s">
        <v>146</v>
      </c>
    </row>
    <row r="4" spans="1:5" ht="165">
      <c r="A4" s="11" t="s">
        <v>147</v>
      </c>
      <c r="B4" s="11" t="s">
        <v>139</v>
      </c>
      <c r="C4" s="11" t="s">
        <v>148</v>
      </c>
      <c r="D4" s="12" t="s">
        <v>149</v>
      </c>
      <c r="E4" s="1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simple_regression_marketing_spe</vt:lpstr>
      <vt:lpstr>simple_regression_footfall</vt:lpstr>
      <vt:lpstr>raw_data</vt:lpstr>
      <vt:lpstr>cleaned_data</vt:lpstr>
      <vt:lpstr>multiple regression</vt:lpstr>
      <vt:lpstr>Dummy Variables</vt:lpstr>
      <vt:lpstr>simple_regression_1</vt:lpstr>
      <vt:lpstr>simple_regression_2</vt:lpstr>
      <vt:lpstr>residual_analysis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2026-06-27T16:00:26Z</dcterms:created>
  <dcterms:modified xsi:type="dcterms:W3CDTF">2026-06-28T05:44:28Z</dcterms:modified>
</cp:coreProperties>
</file>